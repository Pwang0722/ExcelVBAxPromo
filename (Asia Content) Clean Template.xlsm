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nielwang/Downloads/"/>
    </mc:Choice>
  </mc:AlternateContent>
  <xr:revisionPtr revIDLastSave="0" documentId="13_ncr:1_{190EB539-C684-5848-A870-25AA2B9C6212}" xr6:coauthVersionLast="47" xr6:coauthVersionMax="47" xr10:uidLastSave="{00000000-0000-0000-0000-000000000000}"/>
  <bookViews>
    <workbookView xWindow="980" yWindow="1000" windowWidth="34120" windowHeight="21380" tabRatio="854" activeTab="1" xr2:uid="{00000000-000D-0000-FFFF-FFFF00000000}"/>
  </bookViews>
  <sheets>
    <sheet name="INDEX" sheetId="1" r:id="rId1"/>
    <sheet name="TITLE LIST" sheetId="2" r:id="rId2"/>
    <sheet name="##" sheetId="31" r:id="rId3"/>
    <sheet name="#" sheetId="4" state="hidden" r:id="rId4"/>
    <sheet name="01B.NTV-HD" sheetId="3" r:id="rId5"/>
    <sheet name="01C.TVB-HD" sheetId="5" r:id="rId6"/>
    <sheet name="02A.MAC-SD" sheetId="6" r:id="rId7"/>
    <sheet name="03A.TRV-HD &amp; SD" sheetId="7" r:id="rId8"/>
    <sheet name="03C.Triple T-SD" sheetId="8" r:id="rId9"/>
    <sheet name="04B.AST-HD" sheetId="9" r:id="rId10"/>
    <sheet name="04D.AST-DIGITAL" sheetId="10" r:id="rId11"/>
    <sheet name="04E.TMNet-HD" sheetId="11" r:id="rId12"/>
    <sheet name="05A.ME-HD" sheetId="12" r:id="rId13"/>
    <sheet name="05B.SH-HD" sheetId="13" r:id="rId14"/>
    <sheet name="05C.EAZIE" sheetId="32" r:id="rId15"/>
    <sheet name="05E.ST-HD" sheetId="14" r:id="rId16"/>
    <sheet name="05F.PPCTV-SD" sheetId="15" r:id="rId17"/>
    <sheet name="05G.WEW-HD" sheetId="16" r:id="rId18"/>
    <sheet name="06A.MNC-HD" sheetId="17" r:id="rId19"/>
    <sheet name="06C.FIM-HD" sheetId="18" r:id="rId20"/>
    <sheet name="06D.TNV-HD" sheetId="19" r:id="rId21"/>
    <sheet name="06J.DensTV-HD" sheetId="20" r:id="rId22"/>
    <sheet name="06K.NEX-P" sheetId="22" r:id="rId23"/>
    <sheet name="07A.SKC-SD" sheetId="23" r:id="rId24"/>
    <sheet name="07C.PHP-GEN-SD" sheetId="24" r:id="rId25"/>
    <sheet name="07D.CIGNAL-SD" sheetId="25" r:id="rId26"/>
    <sheet name="08A.Media-HD" sheetId="26" r:id="rId27"/>
    <sheet name="08B.Dhiraagu-HD" sheetId="27" r:id="rId28"/>
    <sheet name="11A.Canal+-HD" sheetId="29" r:id="rId29"/>
    <sheet name="REFORMAT" sheetId="30" r:id="rId30"/>
  </sheets>
  <definedNames>
    <definedName name="_xPROMO_Template_141224." localSheetId="4">'01B.NTV-HD'!$A$6</definedName>
    <definedName name="_xPROMO_Template_141224." localSheetId="5">'01C.TVB-HD'!$A$6</definedName>
    <definedName name="_xPROMO_Template_141224." localSheetId="6">'02A.MAC-SD'!$A$6</definedName>
    <definedName name="_xPROMO_Template_141224." localSheetId="7">'03A.TRV-HD &amp; SD'!$A$6</definedName>
    <definedName name="_xPROMO_Template_141224." localSheetId="8">'03C.Triple T-SD'!$A$6</definedName>
    <definedName name="_xPROMO_Template_141224." localSheetId="9">'04B.AST-HD'!$A$6</definedName>
    <definedName name="_xPROMO_Template_141224." localSheetId="10">'04D.AST-DIGITAL'!$A$6</definedName>
    <definedName name="_xPROMO_Template_141224." localSheetId="11">'04E.TMNet-HD'!$A$6</definedName>
    <definedName name="_xPROMO_Template_141224." localSheetId="12">'05A.ME-HD'!$A$6</definedName>
    <definedName name="_xPROMO_Template_141224." localSheetId="13">'05B.SH-HD'!$A$6</definedName>
    <definedName name="_xPROMO_Template_141224." localSheetId="14">'05C.EAZIE'!$A$6</definedName>
    <definedName name="_xPROMO_Template_141224." localSheetId="15">'05E.ST-HD'!$A$6</definedName>
    <definedName name="_xPROMO_Template_141224." localSheetId="16">'05F.PPCTV-SD'!$A$6</definedName>
    <definedName name="_xPROMO_Template_141224." localSheetId="17">'05G.WEW-HD'!$A$6</definedName>
    <definedName name="_xPROMO_Template_141224." localSheetId="18">'06A.MNC-HD'!$A$6</definedName>
    <definedName name="_xPROMO_Template_141224." localSheetId="19">'06C.FIM-HD'!$A$6</definedName>
    <definedName name="_xPROMO_Template_141224." localSheetId="20">'06D.TNV-HD'!$A$6</definedName>
    <definedName name="_xPROMO_Template_141224." localSheetId="21">'06J.DensTV-HD'!$A$6</definedName>
    <definedName name="_xPROMO_Template_141224." localSheetId="22">'06K.NEX-P'!$A$6</definedName>
    <definedName name="_xPROMO_Template_141224." localSheetId="23">'07A.SKC-SD'!$A$6</definedName>
    <definedName name="_xPROMO_Template_141224." localSheetId="24">'07C.PHP-GEN-SD'!$A$6</definedName>
    <definedName name="_xPROMO_Template_141224." localSheetId="25">'07D.CIGNAL-SD'!$A$6</definedName>
    <definedName name="_xPROMO_Template_141224." localSheetId="26">'08A.Media-HD'!$A$6</definedName>
    <definedName name="_xPROMO_Template_141224." localSheetId="27">'08B.Dhiraagu-HD'!$A$6</definedName>
    <definedName name="_xPROMO_Template_141224." localSheetId="28">'11A.Canal+-HD'!$A$6</definedName>
    <definedName name="_xPROMO_Template_141224.">#REF!</definedName>
    <definedName name="List">'TITLE LIST'!$A:$N</definedName>
    <definedName name="ListS">'TITLE LIST'!$A$3:$L$110</definedName>
    <definedName name="xPROMO_Template_1905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32" l="1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N3" i="2" l="1"/>
  <c r="N40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A45" i="29"/>
  <c r="A44" i="29"/>
  <c r="A43" i="29"/>
  <c r="A42" i="29"/>
  <c r="A41" i="29"/>
  <c r="A40" i="29"/>
  <c r="A39" i="29"/>
  <c r="A45" i="27"/>
  <c r="A44" i="27"/>
  <c r="A43" i="27"/>
  <c r="A42" i="27"/>
  <c r="A41" i="27"/>
  <c r="A40" i="27"/>
  <c r="A39" i="27"/>
  <c r="A45" i="26"/>
  <c r="A44" i="26"/>
  <c r="A43" i="26"/>
  <c r="A42" i="26"/>
  <c r="A41" i="26"/>
  <c r="A40" i="26"/>
  <c r="A39" i="26"/>
  <c r="A45" i="25"/>
  <c r="A44" i="25"/>
  <c r="A43" i="25"/>
  <c r="A42" i="25"/>
  <c r="A41" i="25"/>
  <c r="A40" i="25"/>
  <c r="A39" i="25"/>
  <c r="A45" i="24"/>
  <c r="A44" i="24"/>
  <c r="A43" i="24"/>
  <c r="A42" i="24"/>
  <c r="A41" i="24"/>
  <c r="A40" i="24"/>
  <c r="A39" i="24"/>
  <c r="A45" i="23"/>
  <c r="A44" i="23"/>
  <c r="A43" i="23"/>
  <c r="A42" i="23"/>
  <c r="A41" i="23"/>
  <c r="A40" i="23"/>
  <c r="A39" i="23"/>
  <c r="A45" i="22"/>
  <c r="A44" i="22"/>
  <c r="A43" i="22"/>
  <c r="A42" i="22"/>
  <c r="A41" i="22"/>
  <c r="A40" i="22"/>
  <c r="A39" i="22"/>
  <c r="A45" i="20"/>
  <c r="A44" i="20"/>
  <c r="A43" i="20"/>
  <c r="A42" i="20"/>
  <c r="A41" i="20"/>
  <c r="A45" i="19"/>
  <c r="A44" i="19"/>
  <c r="A43" i="19"/>
  <c r="A42" i="19"/>
  <c r="A41" i="19"/>
  <c r="A45" i="18"/>
  <c r="A44" i="18"/>
  <c r="A43" i="18"/>
  <c r="A42" i="18"/>
  <c r="A41" i="18"/>
  <c r="A45" i="17"/>
  <c r="A44" i="17"/>
  <c r="A43" i="17"/>
  <c r="A42" i="17"/>
  <c r="A41" i="17"/>
  <c r="A45" i="16"/>
  <c r="A44" i="16"/>
  <c r="A43" i="16"/>
  <c r="A42" i="16"/>
  <c r="A41" i="16"/>
  <c r="A40" i="16"/>
  <c r="A39" i="16"/>
  <c r="A45" i="15"/>
  <c r="A44" i="15"/>
  <c r="A43" i="15"/>
  <c r="A42" i="15"/>
  <c r="A41" i="15"/>
  <c r="A40" i="15"/>
  <c r="A39" i="15"/>
  <c r="A45" i="14"/>
  <c r="A44" i="14"/>
  <c r="A43" i="14"/>
  <c r="A42" i="14"/>
  <c r="A41" i="14"/>
  <c r="A40" i="14"/>
  <c r="A39" i="14"/>
  <c r="A45" i="13"/>
  <c r="A44" i="13"/>
  <c r="A43" i="13"/>
  <c r="A42" i="13"/>
  <c r="A41" i="13"/>
  <c r="A40" i="13"/>
  <c r="A39" i="13"/>
  <c r="A45" i="12"/>
  <c r="A44" i="12"/>
  <c r="A43" i="12"/>
  <c r="A42" i="12"/>
  <c r="A41" i="12"/>
  <c r="A40" i="12"/>
  <c r="A39" i="12"/>
  <c r="A45" i="11"/>
  <c r="A44" i="11"/>
  <c r="A43" i="11"/>
  <c r="A42" i="11"/>
  <c r="A41" i="11"/>
  <c r="A40" i="11"/>
  <c r="A39" i="11"/>
  <c r="A45" i="10"/>
  <c r="A44" i="10"/>
  <c r="A43" i="10"/>
  <c r="A42" i="10"/>
  <c r="A41" i="10"/>
  <c r="A40" i="10"/>
  <c r="A39" i="10"/>
  <c r="A45" i="9"/>
  <c r="A44" i="9"/>
  <c r="A43" i="9"/>
  <c r="A42" i="9"/>
  <c r="A41" i="9"/>
  <c r="A40" i="9"/>
  <c r="A39" i="9"/>
  <c r="A45" i="8"/>
  <c r="A44" i="8"/>
  <c r="A43" i="8"/>
  <c r="A42" i="8"/>
  <c r="A41" i="8"/>
  <c r="A40" i="8"/>
  <c r="A39" i="8"/>
  <c r="A45" i="7"/>
  <c r="A44" i="7"/>
  <c r="A43" i="7"/>
  <c r="A42" i="7"/>
  <c r="A41" i="7"/>
  <c r="A40" i="7"/>
  <c r="A39" i="7"/>
  <c r="A45" i="6"/>
  <c r="A44" i="6"/>
  <c r="A43" i="6"/>
  <c r="A42" i="6"/>
  <c r="A41" i="6"/>
  <c r="A40" i="6"/>
  <c r="A39" i="6"/>
  <c r="A45" i="5"/>
  <c r="A44" i="5"/>
  <c r="A43" i="5"/>
  <c r="A42" i="5"/>
  <c r="A41" i="5"/>
  <c r="A40" i="5"/>
  <c r="A39" i="5"/>
  <c r="A45" i="3"/>
  <c r="A44" i="3"/>
  <c r="A43" i="3"/>
  <c r="A42" i="3"/>
  <c r="A41" i="3"/>
  <c r="A40" i="3"/>
  <c r="A39" i="3"/>
  <c r="A38" i="29"/>
  <c r="A37" i="29"/>
  <c r="A36" i="29"/>
  <c r="A35" i="29"/>
  <c r="A34" i="29"/>
  <c r="A33" i="29"/>
  <c r="A32" i="29"/>
  <c r="A31" i="29"/>
  <c r="A30" i="29"/>
  <c r="A38" i="27"/>
  <c r="A37" i="27"/>
  <c r="A36" i="27"/>
  <c r="A35" i="27"/>
  <c r="A34" i="27"/>
  <c r="A33" i="27"/>
  <c r="A32" i="27"/>
  <c r="A31" i="27"/>
  <c r="A30" i="27"/>
  <c r="A38" i="26"/>
  <c r="A37" i="26"/>
  <c r="A36" i="26"/>
  <c r="A35" i="26"/>
  <c r="A34" i="26"/>
  <c r="A33" i="26"/>
  <c r="A32" i="26"/>
  <c r="A31" i="26"/>
  <c r="A30" i="26"/>
  <c r="A38" i="25"/>
  <c r="A37" i="25"/>
  <c r="A36" i="25"/>
  <c r="A35" i="25"/>
  <c r="A34" i="25"/>
  <c r="A33" i="25"/>
  <c r="A32" i="25"/>
  <c r="A31" i="25"/>
  <c r="A30" i="25"/>
  <c r="A38" i="24"/>
  <c r="A37" i="24"/>
  <c r="A36" i="24"/>
  <c r="A35" i="24"/>
  <c r="A34" i="24"/>
  <c r="A33" i="24"/>
  <c r="A32" i="24"/>
  <c r="A31" i="24"/>
  <c r="A30" i="24"/>
  <c r="A38" i="23"/>
  <c r="A37" i="23"/>
  <c r="A36" i="23"/>
  <c r="A35" i="23"/>
  <c r="A34" i="23"/>
  <c r="A33" i="23"/>
  <c r="A32" i="23"/>
  <c r="A31" i="23"/>
  <c r="A30" i="23"/>
  <c r="A38" i="22"/>
  <c r="A37" i="22"/>
  <c r="A36" i="22"/>
  <c r="A35" i="22"/>
  <c r="A34" i="22"/>
  <c r="A33" i="22"/>
  <c r="A32" i="22"/>
  <c r="A38" i="16"/>
  <c r="A37" i="16"/>
  <c r="A36" i="16"/>
  <c r="A35" i="16"/>
  <c r="A34" i="16"/>
  <c r="A33" i="16"/>
  <c r="A32" i="16"/>
  <c r="A31" i="16"/>
  <c r="A30" i="16"/>
  <c r="A38" i="15"/>
  <c r="A37" i="15"/>
  <c r="A36" i="15"/>
  <c r="A35" i="15"/>
  <c r="A34" i="15"/>
  <c r="A33" i="15"/>
  <c r="A32" i="15"/>
  <c r="A31" i="15"/>
  <c r="A30" i="15"/>
  <c r="A38" i="14"/>
  <c r="A37" i="14"/>
  <c r="A36" i="14"/>
  <c r="A35" i="14"/>
  <c r="A34" i="14"/>
  <c r="A38" i="13"/>
  <c r="A37" i="13"/>
  <c r="A36" i="13"/>
  <c r="A35" i="13"/>
  <c r="A34" i="13"/>
  <c r="A33" i="13"/>
  <c r="A32" i="13"/>
  <c r="A38" i="12"/>
  <c r="A37" i="12"/>
  <c r="A36" i="12"/>
  <c r="A35" i="12"/>
  <c r="A34" i="12"/>
  <c r="A33" i="12"/>
  <c r="A32" i="12"/>
  <c r="A31" i="12"/>
  <c r="A30" i="12"/>
  <c r="A38" i="11"/>
  <c r="A37" i="11"/>
  <c r="A36" i="11"/>
  <c r="A35" i="11"/>
  <c r="A34" i="11"/>
  <c r="A33" i="11"/>
  <c r="A32" i="11"/>
  <c r="A31" i="11"/>
  <c r="A30" i="11"/>
  <c r="A38" i="10"/>
  <c r="A37" i="10"/>
  <c r="A36" i="10"/>
  <c r="A35" i="10"/>
  <c r="A34" i="10"/>
  <c r="A33" i="10"/>
  <c r="A32" i="10"/>
  <c r="A31" i="10"/>
  <c r="A30" i="10"/>
  <c r="A29" i="10"/>
  <c r="A28" i="10"/>
  <c r="A38" i="9"/>
  <c r="A37" i="9"/>
  <c r="A36" i="9"/>
  <c r="A35" i="9"/>
  <c r="A34" i="9"/>
  <c r="A33" i="9"/>
  <c r="A32" i="9"/>
  <c r="A31" i="9"/>
  <c r="A30" i="9"/>
  <c r="A29" i="9"/>
  <c r="A28" i="9"/>
  <c r="A38" i="8"/>
  <c r="A37" i="8"/>
  <c r="A36" i="8"/>
  <c r="A35" i="8"/>
  <c r="A34" i="8"/>
  <c r="A33" i="8"/>
  <c r="A32" i="8"/>
  <c r="A31" i="8"/>
  <c r="A30" i="8"/>
  <c r="A38" i="7"/>
  <c r="A37" i="7"/>
  <c r="A36" i="7"/>
  <c r="A35" i="7"/>
  <c r="A34" i="7"/>
  <c r="A33" i="7"/>
  <c r="A32" i="7"/>
  <c r="A31" i="7"/>
  <c r="A30" i="7"/>
  <c r="A29" i="7"/>
  <c r="A28" i="7"/>
  <c r="A27" i="7"/>
  <c r="A38" i="6"/>
  <c r="A37" i="6"/>
  <c r="A36" i="6"/>
  <c r="A35" i="6"/>
  <c r="A34" i="6"/>
  <c r="A33" i="6"/>
  <c r="A32" i="6"/>
  <c r="A31" i="6"/>
  <c r="A30" i="6"/>
  <c r="A38" i="5"/>
  <c r="A37" i="5"/>
  <c r="A36" i="5"/>
  <c r="A35" i="5"/>
  <c r="A34" i="5"/>
  <c r="A33" i="5"/>
  <c r="A32" i="5"/>
  <c r="A31" i="5"/>
  <c r="A30" i="5"/>
  <c r="A38" i="3"/>
  <c r="A37" i="3"/>
  <c r="A36" i="3"/>
  <c r="A35" i="3"/>
  <c r="A34" i="3"/>
  <c r="A33" i="3"/>
  <c r="A32" i="3"/>
  <c r="A31" i="3"/>
  <c r="A30" i="3"/>
  <c r="B19" i="32" l="1" a="1"/>
  <c r="B19" i="14" a="1"/>
  <c r="B19" i="5" a="1"/>
  <c r="B19" i="29" a="1"/>
  <c r="B19" i="10" a="1"/>
  <c r="B19" i="11" a="1"/>
  <c r="B19" i="11" s="1"/>
  <c r="B19" i="20" a="1"/>
  <c r="B19" i="13" a="1"/>
  <c r="B19" i="22" a="1"/>
  <c r="B19" i="22" s="1"/>
  <c r="B19" i="23" a="1"/>
  <c r="B19" i="15" a="1"/>
  <c r="B19" i="24" a="1"/>
  <c r="B19" i="3" a="1"/>
  <c r="B19" i="6" a="1"/>
  <c r="B19" i="8" a="1"/>
  <c r="B19" i="16" a="1"/>
  <c r="B19" i="25" a="1"/>
  <c r="B19" i="12" a="1"/>
  <c r="B19" i="7" a="1"/>
  <c r="B19" i="9" a="1"/>
  <c r="B19" i="17" a="1"/>
  <c r="B19" i="26" a="1"/>
  <c r="B19" i="18" a="1"/>
  <c r="B19" i="27" a="1"/>
  <c r="B19" i="19" a="1"/>
  <c r="B19" i="32" l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B19" i="14"/>
  <c r="A33" i="14"/>
  <c r="B19" i="29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B19" i="12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B19" i="19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B19" i="3"/>
  <c r="B19" i="25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B19" i="8"/>
  <c r="B19" i="6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B19" i="9"/>
  <c r="A19" i="9" s="1"/>
  <c r="A20" i="9" s="1"/>
  <c r="A21" i="9" s="1"/>
  <c r="A22" i="9" s="1"/>
  <c r="A23" i="9" s="1"/>
  <c r="A24" i="9" s="1"/>
  <c r="A25" i="9" s="1"/>
  <c r="A26" i="9" s="1"/>
  <c r="A27" i="9" s="1"/>
  <c r="B19" i="10"/>
  <c r="A19" i="10" s="1"/>
  <c r="A20" i="10" s="1"/>
  <c r="A21" i="10" s="1"/>
  <c r="A22" i="10" s="1"/>
  <c r="A23" i="10" s="1"/>
  <c r="A24" i="10" s="1"/>
  <c r="A25" i="10" s="1"/>
  <c r="A26" i="10" s="1"/>
  <c r="A27" i="10" s="1"/>
  <c r="B19" i="5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B19" i="7"/>
  <c r="A19" i="7" s="1"/>
  <c r="A20" i="7" s="1"/>
  <c r="A21" i="7" s="1"/>
  <c r="A22" i="7" s="1"/>
  <c r="A23" i="7" s="1"/>
  <c r="A24" i="7" s="1"/>
  <c r="A25" i="7" s="1"/>
  <c r="A26" i="7" s="1"/>
  <c r="B19" i="26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B19" i="17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B19" i="27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B19" i="18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B19" i="16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B19" i="24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B19" i="15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B19" i="23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19" i="14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B19" i="13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/>
  <c r="B19" i="20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19" i="22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19" i="1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19" i="8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19" i="3" l="1"/>
  <c r="A20" i="3" s="1"/>
  <c r="A21" i="3" s="1"/>
  <c r="A22" i="3" s="1"/>
  <c r="A23" i="3" s="1"/>
  <c r="A24" i="3" s="1"/>
  <c r="A25" i="3" s="1"/>
  <c r="A26" i="3" s="1"/>
  <c r="A27" i="3" s="1"/>
  <c r="A28" i="3" s="1"/>
  <c r="A2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tc={B534058F-502E-468A-B3C8-E80A3F6CACCF}</author>
  </authors>
  <commentList>
    <comment ref="E1" authorId="0" shapeId="0" xr:uid="{B534058F-502E-468A-B3C8-E80A3F6CACC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NOTICE**
&gt; Click 'RUN FORMULA' after making changes to the sheet, including filling in, deleting, inserting, or modifying
&gt; Can click 'RUN FORMULA' multiple times without causing errors 
&gt; For Excel desktop only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<sst xmlns="http://schemas.openxmlformats.org/spreadsheetml/2006/main" count="1122" uniqueCount="279">
  <si>
    <t>REGION</t>
  </si>
  <si>
    <t>AFFILIATE ID</t>
  </si>
  <si>
    <t>AFFILIATE CODE</t>
  </si>
  <si>
    <t>AFFILIATE</t>
  </si>
  <si>
    <t>SPLIT TRACKS</t>
  </si>
  <si>
    <t>DELIVERY FORMAT</t>
  </si>
  <si>
    <t>NOTES</t>
  </si>
  <si>
    <t>SPENA FEEDS TO CROSS</t>
  </si>
  <si>
    <t>Hong Kong</t>
  </si>
  <si>
    <t>01A</t>
  </si>
  <si>
    <t>Yes</t>
  </si>
  <si>
    <t>ProRes SD</t>
  </si>
  <si>
    <t xml:space="preserve">GEM </t>
  </si>
  <si>
    <t>01B</t>
  </si>
  <si>
    <t>ProRes HD</t>
  </si>
  <si>
    <t>For AXN HD and GEM only</t>
  </si>
  <si>
    <t>AXN EA | Animax SEA</t>
  </si>
  <si>
    <t>01C</t>
  </si>
  <si>
    <t>AXN EA | GEM | Animax SEA</t>
  </si>
  <si>
    <t>Macau</t>
  </si>
  <si>
    <t>02A</t>
  </si>
  <si>
    <t>02B</t>
  </si>
  <si>
    <t>For AXN HD only</t>
  </si>
  <si>
    <t>AXN EA</t>
  </si>
  <si>
    <t>Thailand</t>
  </si>
  <si>
    <t>03A</t>
  </si>
  <si>
    <t>ProRes HD &amp; SD</t>
  </si>
  <si>
    <t>AXN EA | GEM</t>
  </si>
  <si>
    <t>03B</t>
  </si>
  <si>
    <t>Animax: Add "CH 263" under Bug</t>
  </si>
  <si>
    <t xml:space="preserve">Animax SEA </t>
  </si>
  <si>
    <t>03C</t>
  </si>
  <si>
    <t>Malaysia</t>
  </si>
  <si>
    <t>04A</t>
  </si>
  <si>
    <t>No</t>
  </si>
  <si>
    <t>IMX30 (MXF)</t>
  </si>
  <si>
    <t>AXN: Add "CH 701" under Bug | beTV: Add "CH 720" under Bug | ANIMAX: Add "CH 715" under Bug | ONE: Add "CH 393" under Bug</t>
  </si>
  <si>
    <t>AXN EA | ONE EA HD</t>
  </si>
  <si>
    <t>04B</t>
  </si>
  <si>
    <t xml:space="preserve">AXN: Add "CH 721" under Bug | beTV: Add "CH 720" under Bug | ONE: Add "CH 393" under Bug | ANIMAX: Add "CH 715" under Bug </t>
  </si>
  <si>
    <t>04C</t>
  </si>
  <si>
    <t>Mpeg 4</t>
  </si>
  <si>
    <t>Video: 640 X 360 Audio: 128kbps</t>
  </si>
  <si>
    <t>AXN EA | Animax SEA | ONE EA HD</t>
  </si>
  <si>
    <t>04D</t>
  </si>
  <si>
    <t>Video: 1280 X 720</t>
  </si>
  <si>
    <t>04E</t>
  </si>
  <si>
    <t>Video: 1920 X 1080, horizontal in .MOV</t>
  </si>
  <si>
    <t xml:space="preserve">AXN EA | Animax SEA | GEM </t>
  </si>
  <si>
    <t>Singapore</t>
  </si>
  <si>
    <t>05A</t>
  </si>
  <si>
    <t xml:space="preserve">Animax SEA | GEM </t>
  </si>
  <si>
    <t>05B</t>
  </si>
  <si>
    <t>MXF OP1a</t>
  </si>
  <si>
    <t>Animax: Add "CH 532" under Bug | AXN: Add "CH 511" under Bug  | ONE: Add "CH 124 / 823" under Bug | GEM : Add "CH 814" under Bug</t>
  </si>
  <si>
    <t>AXN SG | Animax SEA |  ONE EA| GEM</t>
  </si>
  <si>
    <t>05E</t>
  </si>
  <si>
    <t xml:space="preserve">ONE: Add "CH 513 | CH 604 under Bug  | AXN: Add "CH 304" under Bug </t>
  </si>
  <si>
    <t>Cambodia</t>
  </si>
  <si>
    <t>05F</t>
  </si>
  <si>
    <t>05G</t>
  </si>
  <si>
    <t>Indonesia</t>
  </si>
  <si>
    <t>06A</t>
  </si>
  <si>
    <t>AXN: Add "CH 154" under Bug | Animax: Add "CH 157" under Bug | ONE: Add "CH 164" under Bug</t>
  </si>
  <si>
    <t>AXN EA | Animax SEA | ONE EA</t>
  </si>
  <si>
    <t>06B</t>
  </si>
  <si>
    <t>Mpeg 4 / 3GP</t>
  </si>
  <si>
    <t>Video: 320 x 240</t>
  </si>
  <si>
    <t>06C</t>
  </si>
  <si>
    <t>AXN EA | Animax SEA | ONE EA | GEM</t>
  </si>
  <si>
    <t>06D</t>
  </si>
  <si>
    <t>AXN EA | Animax SEA | GEM | ONE EA</t>
  </si>
  <si>
    <t>06E</t>
  </si>
  <si>
    <t>06F</t>
  </si>
  <si>
    <t>06G</t>
  </si>
  <si>
    <t>AXN: Add "AXN CH 205 | AXN HD CH 204" under Bug</t>
  </si>
  <si>
    <t>06H</t>
  </si>
  <si>
    <t>AXN: Add "CH 27" under Bug | Animax: Add "CH 66" under Bug</t>
  </si>
  <si>
    <t>06I</t>
  </si>
  <si>
    <t>Use the same set of promos for Indovision</t>
  </si>
  <si>
    <t>06J</t>
  </si>
  <si>
    <t>AXN EA | GEM | ONE EA | Animax SEA</t>
  </si>
  <si>
    <t>06K</t>
  </si>
  <si>
    <t>Philippines</t>
  </si>
  <si>
    <t>07A</t>
  </si>
  <si>
    <t>AXN PH | Animax SEA</t>
  </si>
  <si>
    <t>07C</t>
  </si>
  <si>
    <t>07D</t>
  </si>
  <si>
    <t>Maldives</t>
  </si>
  <si>
    <t>08A</t>
  </si>
  <si>
    <t>Video: 1920 x 1080, Audio:128 kbps</t>
  </si>
  <si>
    <t>AXN EA |  Animax SEA</t>
  </si>
  <si>
    <t>08B</t>
  </si>
  <si>
    <t>Vietnam</t>
  </si>
  <si>
    <t>10A</t>
  </si>
  <si>
    <t>AXN HD Promos to be delivered via regular xPromo dumpout</t>
  </si>
  <si>
    <r>
      <rPr>
        <sz val="10"/>
        <color rgb="FF000000"/>
        <rFont val="Arial"/>
        <family val="2"/>
      </rPr>
      <t>AXN EA1</t>
    </r>
    <r>
      <rPr>
        <strike/>
        <sz val="10"/>
        <color rgb="FF000000"/>
        <rFont val="Arial"/>
        <family val="2"/>
      </rPr>
      <t xml:space="preserve"> | GEM</t>
    </r>
  </si>
  <si>
    <t>Myanmar</t>
  </si>
  <si>
    <t>11A</t>
  </si>
  <si>
    <t>AXN EA | Animax SEA | GEM EA</t>
  </si>
  <si>
    <t>11B</t>
  </si>
  <si>
    <t>Jamaica</t>
  </si>
  <si>
    <t>AXN  EA</t>
  </si>
  <si>
    <t>Sri Lanka</t>
  </si>
  <si>
    <t>13A</t>
  </si>
  <si>
    <t>CHANNEL</t>
  </si>
  <si>
    <t>TITLE</t>
  </si>
  <si>
    <t>VERSION</t>
  </si>
  <si>
    <t>DUR</t>
  </si>
  <si>
    <t>PRODUCER</t>
  </si>
  <si>
    <t>PROG DATE</t>
  </si>
  <si>
    <t>START DATE
(DD/MM/YY)</t>
  </si>
  <si>
    <t>KILL DATE
(DD/MM/YY)</t>
  </si>
  <si>
    <t>REMARKS</t>
  </si>
  <si>
    <t>AUDIO</t>
  </si>
  <si>
    <r>
      <rPr>
        <b/>
        <sz val="11"/>
        <color rgb="FF000000"/>
        <rFont val="Calibri"/>
        <family val="2"/>
      </rPr>
      <t xml:space="preserve">AFFILIATE
</t>
    </r>
    <r>
      <rPr>
        <b/>
        <sz val="9"/>
        <color rgb="FF000000"/>
        <rFont val="Calibri"/>
        <family val="2"/>
      </rPr>
      <t>(ALL doesn't incl SINGTEL)</t>
    </r>
  </si>
  <si>
    <t>JOHNNY'S</t>
  </si>
  <si>
    <t>#</t>
  </si>
  <si>
    <t>NO</t>
  </si>
  <si>
    <t>v</t>
  </si>
  <si>
    <t>ANIMAX</t>
  </si>
  <si>
    <t>CANTO FM</t>
  </si>
  <si>
    <t>ALL</t>
  </si>
  <si>
    <t>THAI FM</t>
  </si>
  <si>
    <t>ENG FM</t>
  </si>
  <si>
    <t>ENG SPLIT</t>
  </si>
  <si>
    <t>BI FM</t>
  </si>
  <si>
    <t>05E.ST-HD</t>
  </si>
  <si>
    <t>GEM</t>
  </si>
  <si>
    <t>MAND FM</t>
  </si>
  <si>
    <t>MAND SPLIT</t>
  </si>
  <si>
    <t>ONE EA</t>
  </si>
  <si>
    <t>BM FM</t>
  </si>
  <si>
    <t>01B.NTV-HD</t>
  </si>
  <si>
    <t>01C.TVB-HD</t>
  </si>
  <si>
    <t>02A.MAC-SD</t>
  </si>
  <si>
    <t>03A.TRV-HD &amp; SD</t>
  </si>
  <si>
    <t>03C.Triple T-SD</t>
  </si>
  <si>
    <t>04B.AST-HD</t>
  </si>
  <si>
    <t>04D.AST-DIGITAL</t>
  </si>
  <si>
    <t>04E.TMNet-HD</t>
  </si>
  <si>
    <t>05A.ME-HD</t>
  </si>
  <si>
    <t>05B.SH-HD</t>
  </si>
  <si>
    <t>05F.PPCTV-SD</t>
  </si>
  <si>
    <t>05G.WEW-HD</t>
  </si>
  <si>
    <t>06A.MNC-HD</t>
  </si>
  <si>
    <t>06C.FIM-HD</t>
  </si>
  <si>
    <t>06D.TNV-HD</t>
  </si>
  <si>
    <t>06J.DensTV-HD</t>
  </si>
  <si>
    <t>06K.NEX-P</t>
  </si>
  <si>
    <t>07A.SKC-SD</t>
  </si>
  <si>
    <t>07C.PHP-GEN-SD</t>
  </si>
  <si>
    <t>07D.CIGNAL-SD</t>
  </si>
  <si>
    <t>08A.Media-HD</t>
  </si>
  <si>
    <t>08B.Dhiraagu-HD</t>
  </si>
  <si>
    <t>11A.Canal+ -HD</t>
  </si>
  <si>
    <t>KC GLOBAL MEDIA | CROSS PROMOS COMPILATION</t>
  </si>
  <si>
    <t>OUTPUT FORMAT: ProRes HD/Split Tracks</t>
  </si>
  <si>
    <r>
      <rPr>
        <b/>
        <u/>
        <sz val="10"/>
        <color theme="1"/>
        <rFont val="Calibri"/>
        <family val="2"/>
      </rPr>
      <t>SPLIT TRACKS LEGEND</t>
    </r>
    <r>
      <rPr>
        <b/>
        <sz val="10"/>
        <color theme="1"/>
        <rFont val="Calibri"/>
        <family val="2"/>
      </rPr>
      <t xml:space="preserve">
Tk1/2 -- Full Mix (Stereo)
Tk3/4 -- VO (Stereo)
Tk5/6 -- SFX (Stereo)
Tk7/8 -- Music (Stereo)
</t>
    </r>
  </si>
  <si>
    <t>ANIMAX SEA</t>
  </si>
  <si>
    <t>Cantonese Full Mix</t>
  </si>
  <si>
    <t>Animax Bug on top left</t>
  </si>
  <si>
    <t>TIMECODE</t>
  </si>
  <si>
    <r>
      <rPr>
        <b/>
        <sz val="15"/>
        <color rgb="FF0066FF"/>
        <rFont val="Calibri"/>
        <family val="2"/>
      </rPr>
      <t xml:space="preserve">ANIMAX SEA </t>
    </r>
    <r>
      <rPr>
        <b/>
        <sz val="15"/>
        <color rgb="FF00B050"/>
        <rFont val="Calibri"/>
        <family val="2"/>
      </rPr>
      <t xml:space="preserve"> | GEM</t>
    </r>
  </si>
  <si>
    <t>OUTPUT FORMAT: ProRes SD/Split Tracks</t>
  </si>
  <si>
    <t>OUTPUT FORMAT: ProRes HD &amp; SD</t>
  </si>
  <si>
    <t>Thai Full Mix</t>
  </si>
  <si>
    <t>GEM Bug on top left</t>
  </si>
  <si>
    <t>Thai full mix</t>
  </si>
  <si>
    <t>OUTPUT FORMAT: ProRes HD</t>
  </si>
  <si>
    <t>Note to Astro: Do Not Insert Promos on AXN/ONE HD</t>
  </si>
  <si>
    <t>English Full Mix, Mandarin Full Mix, Bahasa Melayu Full Mix</t>
  </si>
  <si>
    <t xml:space="preserve">Add "CH 393" under ONE HD Bug on top left </t>
  </si>
  <si>
    <t>Use Astro's multiple audio bug instead of the channel's multiple languages bug</t>
  </si>
  <si>
    <t>OUTPUT FORMAT: Mpeg 4 (1280 X 720)</t>
  </si>
  <si>
    <t>Note to Astro: Do Not Insert Promos on AXN/ONE HD/Animax</t>
  </si>
  <si>
    <r>
      <rPr>
        <b/>
        <sz val="15"/>
        <color rgb="FF0066FF"/>
        <rFont val="Calibri"/>
        <family val="2"/>
      </rPr>
      <t>ANIMAX SEA</t>
    </r>
    <r>
      <rPr>
        <b/>
        <sz val="15"/>
        <color rgb="FF00B0F0"/>
        <rFont val="Calibri"/>
        <family val="2"/>
      </rPr>
      <t xml:space="preserve"> </t>
    </r>
    <r>
      <rPr>
        <b/>
        <sz val="15"/>
        <color rgb="FF00B050"/>
        <rFont val="Calibri"/>
        <family val="2"/>
      </rPr>
      <t xml:space="preserve">| GEM </t>
    </r>
    <r>
      <rPr>
        <b/>
        <sz val="15"/>
        <color rgb="FF7030A0"/>
        <rFont val="Calibri"/>
        <family val="2"/>
      </rPr>
      <t>| ONE EA</t>
    </r>
  </si>
  <si>
    <t>ONE</t>
  </si>
  <si>
    <t>English Full Mix</t>
  </si>
  <si>
    <t>ONE Bug on top left</t>
  </si>
  <si>
    <t>Add "CH 461" under ONE Bug on top left</t>
  </si>
  <si>
    <t>To include TM Net end tag</t>
  </si>
  <si>
    <t>Add "CH 471" under GEM Bug on top left</t>
  </si>
  <si>
    <r>
      <rPr>
        <b/>
        <sz val="15"/>
        <color rgb="FF0066FF"/>
        <rFont val="Calibri"/>
        <family val="2"/>
      </rPr>
      <t>ANIMAX SEA |</t>
    </r>
    <r>
      <rPr>
        <b/>
        <sz val="15"/>
        <color rgb="FFFF0000"/>
        <rFont val="Calibri"/>
        <family val="2"/>
      </rPr>
      <t xml:space="preserve"> </t>
    </r>
    <r>
      <rPr>
        <b/>
        <sz val="15"/>
        <color rgb="FF7030A0"/>
        <rFont val="Calibri"/>
        <family val="2"/>
      </rPr>
      <t xml:space="preserve">ONE EA </t>
    </r>
    <r>
      <rPr>
        <b/>
        <sz val="15"/>
        <color rgb="FF00B050"/>
        <rFont val="Calibri"/>
        <family val="2"/>
      </rPr>
      <t xml:space="preserve"> | GEM</t>
    </r>
  </si>
  <si>
    <t>Mandarin Full Mix &amp; Bahasa Melayu Full Mix</t>
  </si>
  <si>
    <t>Add "CH 124 / 823" under ONE Bug on top left</t>
  </si>
  <si>
    <t>To include StarHub end tag</t>
  </si>
  <si>
    <t xml:space="preserve">ANIMAX SEA </t>
  </si>
  <si>
    <t xml:space="preserve">Mandarin Full Mix </t>
  </si>
  <si>
    <t>Add "CH 532" under Animax Bug on top left</t>
  </si>
  <si>
    <t>Add "CH 814" under GEM Bug on top left</t>
  </si>
  <si>
    <t>START DATE
 (DD/MM/YY)</t>
  </si>
  <si>
    <t>Add "CH 513 / 604" with ONE Bug on top left</t>
  </si>
  <si>
    <t>Provide separate promos in Mandarin &amp; Malay</t>
  </si>
  <si>
    <t>Use last frame of Singtel CTA end tag (with provided VO)</t>
  </si>
  <si>
    <t>Animax</t>
  </si>
  <si>
    <t>Add "342" with Animax Bug on top left</t>
  </si>
  <si>
    <t>Add "519" with GEM Bug on top left</t>
  </si>
  <si>
    <t>English full mix</t>
  </si>
  <si>
    <t>Provide separate promos in Mandarin &amp; English</t>
  </si>
  <si>
    <r>
      <rPr>
        <b/>
        <sz val="15"/>
        <color rgb="FF0066FF"/>
        <rFont val="Calibri"/>
        <family val="2"/>
      </rPr>
      <t>ANIMAX SEA</t>
    </r>
    <r>
      <rPr>
        <b/>
        <sz val="15"/>
        <color rgb="FF00B050"/>
        <rFont val="Calibri"/>
        <family val="2"/>
      </rPr>
      <t xml:space="preserve"> | GEM</t>
    </r>
  </si>
  <si>
    <t>English Split Tracks</t>
  </si>
  <si>
    <t>Mandarin Split Tracks</t>
  </si>
  <si>
    <r>
      <rPr>
        <b/>
        <sz val="15"/>
        <color rgb="FF0066FF"/>
        <rFont val="Calibri"/>
        <family val="2"/>
      </rPr>
      <t>ANIMAX SEA</t>
    </r>
    <r>
      <rPr>
        <b/>
        <sz val="15"/>
        <color rgb="FF00B0F0"/>
        <rFont val="Calibri"/>
        <family val="2"/>
      </rPr>
      <t xml:space="preserve"> </t>
    </r>
    <r>
      <rPr>
        <b/>
        <sz val="15"/>
        <color rgb="FF00B050"/>
        <rFont val="Calibri"/>
        <family val="2"/>
      </rPr>
      <t xml:space="preserve">| GEM </t>
    </r>
  </si>
  <si>
    <t>OUTPUT FORMAT: Prores HD (audio level -12dB)</t>
  </si>
  <si>
    <r>
      <rPr>
        <b/>
        <sz val="15"/>
        <color rgb="FF0066FF"/>
        <rFont val="Calibri"/>
        <family val="2"/>
      </rPr>
      <t>ANIMAX SEA |</t>
    </r>
    <r>
      <rPr>
        <b/>
        <sz val="15"/>
        <color rgb="FF0070C0"/>
        <rFont val="Calibri"/>
        <family val="2"/>
      </rPr>
      <t xml:space="preserve"> </t>
    </r>
    <r>
      <rPr>
        <b/>
        <sz val="15"/>
        <color rgb="FF7030A0"/>
        <rFont val="Calibri"/>
        <family val="2"/>
      </rPr>
      <t>ONE EA</t>
    </r>
  </si>
  <si>
    <t>Add "CH 164" under ONE Bug on top left</t>
  </si>
  <si>
    <t>Bahasa Indonesia Full Mix</t>
  </si>
  <si>
    <t>Add "CH157" under Animax Bug on top left</t>
  </si>
  <si>
    <r>
      <rPr>
        <b/>
        <sz val="12"/>
        <color rgb="FF0000FF"/>
        <rFont val="Calibri"/>
        <family val="2"/>
      </rPr>
      <t>English Full Mix +</t>
    </r>
    <r>
      <rPr>
        <b/>
        <u/>
        <sz val="12"/>
        <color rgb="FF0000FF"/>
        <rFont val="Calibri"/>
        <family val="2"/>
      </rPr>
      <t xml:space="preserve"> Bahasa Indonesia Full Mix</t>
    </r>
  </si>
  <si>
    <t>Add "CH 205" under ONE Bug on top left</t>
  </si>
  <si>
    <r>
      <rPr>
        <b/>
        <sz val="12"/>
        <color rgb="FF7030A0"/>
        <rFont val="Calibri"/>
        <family val="2"/>
      </rPr>
      <t>English Full Mix +</t>
    </r>
    <r>
      <rPr>
        <b/>
        <u/>
        <sz val="12"/>
        <color rgb="FF7030A0"/>
        <rFont val="Calibri"/>
        <family val="2"/>
      </rPr>
      <t xml:space="preserve"> Bahasa Indonesia Full Mix</t>
    </r>
  </si>
  <si>
    <t>To include First Media end tag</t>
  </si>
  <si>
    <t>Add "CH 52" under Animax Bug on top left</t>
  </si>
  <si>
    <t>Add "CH 340" under GEM Bug on top left</t>
  </si>
  <si>
    <r>
      <rPr>
        <b/>
        <sz val="12"/>
        <color rgb="FF0000FF"/>
        <rFont val="Calibri"/>
        <family val="2"/>
      </rPr>
      <t xml:space="preserve">English Full Mix + </t>
    </r>
    <r>
      <rPr>
        <b/>
        <u/>
        <sz val="12"/>
        <color rgb="FF0000FF"/>
        <rFont val="Calibri"/>
        <family val="2"/>
      </rPr>
      <t>Bahasa Indonesia Full Mix</t>
    </r>
  </si>
  <si>
    <r>
      <rPr>
        <b/>
        <sz val="12"/>
        <color rgb="FF00B050"/>
        <rFont val="Calibri"/>
        <family val="2"/>
      </rPr>
      <t xml:space="preserve">English Full Mix + </t>
    </r>
    <r>
      <rPr>
        <b/>
        <u/>
        <sz val="12"/>
        <color rgb="FF00B050"/>
        <rFont val="Calibri"/>
        <family val="2"/>
      </rPr>
      <t>Bahasa Indonesia Full Mix</t>
    </r>
  </si>
  <si>
    <r>
      <rPr>
        <b/>
        <sz val="12"/>
        <color rgb="FF7030A0"/>
        <rFont val="Calibri"/>
        <family val="2"/>
      </rPr>
      <t xml:space="preserve">English Full Mix + </t>
    </r>
    <r>
      <rPr>
        <b/>
        <u/>
        <sz val="12"/>
        <color rgb="FF7030A0"/>
        <rFont val="Calibri"/>
        <family val="2"/>
      </rPr>
      <t>Bahasa Indonesia Full Mix</t>
    </r>
  </si>
  <si>
    <t>GEM Channel Bug on top left</t>
  </si>
  <si>
    <t>OUTPUT FORMAT: ProRes SD</t>
  </si>
  <si>
    <t>OUTPUT FORMAT: Prores HD</t>
  </si>
  <si>
    <r>
      <rPr>
        <b/>
        <sz val="15"/>
        <color rgb="FF0066FF"/>
        <rFont val="Calibri"/>
        <family val="2"/>
      </rPr>
      <t>ANIMAX PH</t>
    </r>
    <r>
      <rPr>
        <b/>
        <sz val="15"/>
        <color rgb="FF00B0F0"/>
        <rFont val="Calibri"/>
        <family val="2"/>
      </rPr>
      <t xml:space="preserve"> </t>
    </r>
    <r>
      <rPr>
        <b/>
        <sz val="15"/>
        <color rgb="FF00B050"/>
        <rFont val="Calibri"/>
        <family val="2"/>
      </rPr>
      <t xml:space="preserve">| GEM </t>
    </r>
  </si>
  <si>
    <t>ANIMAX PH</t>
  </si>
  <si>
    <t>Skycable special end tag</t>
  </si>
  <si>
    <t>Line 1: SKYCable logo | Line 2: 381-0000 | Line 3: mysky.com.ph</t>
  </si>
  <si>
    <t>OUTPUT FORMAT: MPEG 4 (1920 x 1080), Audio bitrate: 256 kbps, Video bitrate: 8 Mbps, codec: H.264</t>
  </si>
  <si>
    <r>
      <rPr>
        <b/>
        <sz val="15"/>
        <color rgb="FF0066FF"/>
        <rFont val="Calibri"/>
        <family val="2"/>
      </rPr>
      <t xml:space="preserve">ANIMAX SEA </t>
    </r>
    <r>
      <rPr>
        <b/>
        <sz val="15"/>
        <color rgb="FF00B050"/>
        <rFont val="Calibri"/>
        <family val="2"/>
      </rPr>
      <t xml:space="preserve">| GEM </t>
    </r>
  </si>
  <si>
    <t>(same video specs as Animax SEA)</t>
  </si>
  <si>
    <r>
      <rPr>
        <b/>
        <sz val="15"/>
        <color rgb="FF0066FF"/>
        <rFont val="Calibri"/>
        <family val="2"/>
      </rPr>
      <t>ANIMAX SEA</t>
    </r>
    <r>
      <rPr>
        <b/>
        <sz val="15"/>
        <color rgb="FF00B0F0"/>
        <rFont val="Calibri"/>
        <family val="2"/>
      </rPr>
      <t xml:space="preserve"> </t>
    </r>
    <r>
      <rPr>
        <b/>
        <sz val="15"/>
        <color rgb="FF00B050"/>
        <rFont val="Calibri"/>
        <family val="2"/>
      </rPr>
      <t>| GEM</t>
    </r>
  </si>
  <si>
    <t>Animax bug on the top left</t>
  </si>
  <si>
    <t>SOT ONLY</t>
  </si>
  <si>
    <t>SOT Only</t>
  </si>
  <si>
    <r>
      <rPr>
        <b/>
        <sz val="11"/>
        <color rgb="FF0000FF"/>
        <rFont val="Calibri"/>
        <family val="2"/>
      </rPr>
      <t xml:space="preserve">ANIMAX: CANTO FM, THAI FM, ENG FM, ENG SPLIT, BI FM (SINGTEL: ENG FM)  
</t>
    </r>
    <r>
      <rPr>
        <b/>
        <sz val="11"/>
        <color rgb="FF38761D"/>
        <rFont val="Calibri"/>
        <family val="2"/>
      </rPr>
      <t xml:space="preserve">GEM: THAI FM, MAND FM, MAND SPLIT, BI FM, ENG FM (SINGTEL: MAND FM, ENG FM) </t>
    </r>
    <r>
      <rPr>
        <b/>
        <sz val="11"/>
        <color rgb="FFFF0000"/>
        <rFont val="Calibri"/>
        <family val="2"/>
      </rPr>
      <t>(TVB: SOT ONLY)</t>
    </r>
    <r>
      <rPr>
        <b/>
        <sz val="11"/>
        <color rgb="FF38761D"/>
        <rFont val="Calibri"/>
        <family val="2"/>
      </rPr>
      <t xml:space="preserve">
</t>
    </r>
    <r>
      <rPr>
        <b/>
        <sz val="11"/>
        <color rgb="FF7030A0"/>
        <rFont val="Calibri"/>
        <family val="2"/>
      </rPr>
      <t>ONE EA: ENG FM, MAND FM, BM FM, BI FM (SINGTEL: MAND FM, BM FM)</t>
    </r>
  </si>
  <si>
    <r>
      <rPr>
        <b/>
        <sz val="11"/>
        <color rgb="FF0000FF"/>
        <rFont val="Calibri"/>
        <family val="2"/>
      </rPr>
      <t xml:space="preserve">ANIMAX: CANTO FM, THAI FM, ENG FM, ENG SPLIT, BI FM (SINGTEL: ENG FM)  
</t>
    </r>
    <r>
      <rPr>
        <b/>
        <sz val="11"/>
        <color rgb="FF38761D"/>
        <rFont val="Calibri"/>
        <family val="2"/>
      </rPr>
      <t xml:space="preserve">GEM: THAI FM, MAND FM, MAND SPLIT, BI FM, ENG FM (SINGTEL: MAND FM, ENG FM) </t>
    </r>
    <r>
      <rPr>
        <b/>
        <sz val="11"/>
        <color rgb="FFFF0000"/>
        <rFont val="Calibri"/>
        <family val="2"/>
      </rPr>
      <t xml:space="preserve"> (TVB: SOT ONLY)</t>
    </r>
    <r>
      <rPr>
        <b/>
        <sz val="11"/>
        <color rgb="FF9BBB59"/>
        <rFont val="Calibri"/>
        <family val="2"/>
      </rPr>
      <t xml:space="preserve">
</t>
    </r>
    <r>
      <rPr>
        <b/>
        <sz val="11"/>
        <color rgb="FF7030A0"/>
        <rFont val="Calibri"/>
        <family val="2"/>
      </rPr>
      <t>ONE EA: ENG FM, MAND FM, BM FM, BI FM (SINGTEL: MAND FM, BM FM)</t>
    </r>
  </si>
  <si>
    <t>A2</t>
  </si>
  <si>
    <t>A1</t>
  </si>
  <si>
    <t>G2</t>
  </si>
  <si>
    <t>G1</t>
  </si>
  <si>
    <t>O2</t>
  </si>
  <si>
    <t>O1</t>
  </si>
  <si>
    <r>
      <t xml:space="preserve">OUTPUT FORMAT: </t>
    </r>
    <r>
      <rPr>
        <b/>
        <sz val="11"/>
        <color rgb="FFE69138"/>
        <rFont val="Calibri"/>
        <family val="2"/>
        <scheme val="minor"/>
      </rPr>
      <t>Video Format: MXF OP1a, Video Codec: XDCAM HD 422 1080i, Video Bitrate: 50Mbps</t>
    </r>
    <r>
      <rPr>
        <b/>
        <sz val="11"/>
        <color rgb="FFFF9900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 |  </t>
    </r>
    <r>
      <rPr>
        <b/>
        <sz val="11"/>
        <color rgb="FFBF9000"/>
        <rFont val="Calibri"/>
        <family val="2"/>
        <scheme val="minor"/>
      </rPr>
      <t>Audio Format: PCM, Audio Bitdepth: 24 bit, Sample Rate: 48kHz, Audio Level: Averaging -23~-26dBFS or -3~+6dBVU, Loudness: -23LKFS</t>
    </r>
  </si>
  <si>
    <t>For Marketing Use Only</t>
  </si>
  <si>
    <t>To run the code, download the file to your desktop.</t>
  </si>
  <si>
    <t>05C</t>
  </si>
  <si>
    <t>AXN SG | Animax SEA | ONE EA| GEM</t>
  </si>
  <si>
    <t>12A</t>
  </si>
  <si>
    <t>OUTPUT FORMAT: MPEG 4 (1920 x 1080)</t>
  </si>
  <si>
    <t>English Full Mix + Mandarin Full Mix</t>
  </si>
  <si>
    <t>05C.EAZIE</t>
  </si>
  <si>
    <t>STEP 1</t>
  </si>
  <si>
    <t>STEP 2</t>
  </si>
  <si>
    <t>Reformat all affiliate sheets</t>
  </si>
  <si>
    <t>Save all affiliate sheets as PDFs</t>
  </si>
  <si>
    <r>
      <t>NOTICE**
&gt; Reformat before saving as PDF to avoid errors
&gt; If an error occurs, click 'End' and redo the process
&gt; 'SAVE PDF ALL' button will save all sheets, including blank ones
&gt; To save a single sheet as a PDF, select the sheet and press</t>
    </r>
    <r>
      <rPr>
        <b/>
        <sz val="11"/>
        <color rgb="FFFFFF00"/>
        <rFont val="Arial Black"/>
        <family val="2"/>
      </rPr>
      <t xml:space="preserve"> </t>
    </r>
    <r>
      <rPr>
        <b/>
        <sz val="11"/>
        <color theme="2"/>
        <rFont val="Arial Black"/>
        <family val="2"/>
      </rPr>
      <t>Ctrl + Shift+ F</t>
    </r>
    <r>
      <rPr>
        <b/>
        <sz val="12"/>
        <color rgb="FFFFFF00"/>
        <rFont val="Calibri"/>
        <family val="2"/>
      </rPr>
      <t xml:space="preserve">
&gt; Make adjustments to each sheet after reformatting and before saving as PDF</t>
    </r>
  </si>
  <si>
    <t>AFFILIATE 01</t>
  </si>
  <si>
    <t>AFFILIATE 02</t>
  </si>
  <si>
    <t>AFFILIATE 03</t>
  </si>
  <si>
    <t>AFFILIATE 04</t>
  </si>
  <si>
    <t>AFFILIATE 05</t>
  </si>
  <si>
    <t>AFFILIATE 06</t>
  </si>
  <si>
    <t>AFFILIATE 07</t>
  </si>
  <si>
    <t>AFFILIATE 08</t>
  </si>
  <si>
    <t>AFFILIATE 09</t>
  </si>
  <si>
    <t>AFFILIATE 10</t>
  </si>
  <si>
    <t>AFFILIATE 11</t>
  </si>
  <si>
    <t>AFFILIATE 12</t>
  </si>
  <si>
    <t>AFFILIATE 13</t>
  </si>
  <si>
    <t>AFFILIATE 14</t>
  </si>
  <si>
    <t>AFFILIATE 15</t>
  </si>
  <si>
    <t>AFFILIATE 16</t>
  </si>
  <si>
    <t>AFFILIATE 17</t>
  </si>
  <si>
    <t>AFFILIATE 18</t>
  </si>
  <si>
    <t>AFFILIATE 19</t>
  </si>
  <si>
    <t>AFFILIATE 20</t>
  </si>
  <si>
    <t>AFFILIATE 21</t>
  </si>
  <si>
    <t>AFFILIATE 22</t>
  </si>
  <si>
    <t>AFFILIATE 23</t>
  </si>
  <si>
    <t>AFFILIATE 24</t>
  </si>
  <si>
    <t>AFFILIATE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</si>
</sst>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.00"/>
    <numFmt numFmtId="165" formatCode="d/m/yyyy"/>
    <numFmt numFmtId="166" formatCode="dd/mm/yy"/>
    <numFmt numFmtId="167" formatCode="dd\-mmm"/>
  </numFmts>
  <fonts count="88" x14ac:knownFonts="1">
    <font>
      <sz val="11"/>
      <color theme="1"/>
      <name val="Calibri"/>
      <scheme val="minor"/>
    </font>
    <font>
      <b/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trike/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6"/>
      <color theme="1"/>
      <name val="Calibri"/>
      <family val="2"/>
    </font>
    <font>
      <b/>
      <sz val="13"/>
      <color theme="1"/>
      <name val="Calibri"/>
      <family val="2"/>
    </font>
    <font>
      <sz val="10"/>
      <color theme="1"/>
      <name val="Calibri"/>
      <family val="2"/>
    </font>
    <font>
      <b/>
      <sz val="10"/>
      <color rgb="FF808080"/>
      <name val="Calibri"/>
      <family val="2"/>
    </font>
    <font>
      <b/>
      <sz val="40"/>
      <color theme="1"/>
      <name val="Calibri"/>
      <family val="2"/>
    </font>
    <font>
      <sz val="10"/>
      <color rgb="FF808080"/>
      <name val="Calibri"/>
      <family val="2"/>
    </font>
    <font>
      <b/>
      <sz val="10"/>
      <color theme="1"/>
      <name val="Calibri"/>
      <family val="2"/>
    </font>
    <font>
      <b/>
      <sz val="15"/>
      <color rgb="FF0066FF"/>
      <name val="Calibri"/>
      <family val="2"/>
    </font>
    <font>
      <sz val="14"/>
      <color theme="1"/>
      <name val="Calibri"/>
      <family val="2"/>
    </font>
    <font>
      <i/>
      <sz val="14"/>
      <color theme="1"/>
      <name val="Calibri"/>
      <family val="2"/>
    </font>
    <font>
      <b/>
      <sz val="15"/>
      <color rgb="FF00B050"/>
      <name val="Calibri"/>
      <family val="2"/>
    </font>
    <font>
      <b/>
      <sz val="30"/>
      <color theme="1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b/>
      <u/>
      <sz val="12"/>
      <color rgb="FFFF0000"/>
      <name val="Calibri"/>
      <family val="2"/>
    </font>
    <font>
      <b/>
      <u/>
      <sz val="12"/>
      <color rgb="FF00B050"/>
      <name val="Calibri"/>
      <family val="2"/>
    </font>
    <font>
      <b/>
      <i/>
      <u/>
      <sz val="12"/>
      <color rgb="FFFF0000"/>
      <name val="Calibri"/>
      <family val="2"/>
    </font>
    <font>
      <b/>
      <sz val="12"/>
      <color rgb="FF00B050"/>
      <name val="Calibri"/>
      <family val="2"/>
    </font>
    <font>
      <b/>
      <sz val="12"/>
      <color rgb="FFFF0000"/>
      <name val="Calibri"/>
      <family val="2"/>
    </font>
    <font>
      <b/>
      <sz val="12"/>
      <color rgb="FFE46D0A"/>
      <name val="Calibri"/>
      <family val="2"/>
    </font>
    <font>
      <b/>
      <sz val="12"/>
      <color theme="1"/>
      <name val="Calibri"/>
      <family val="2"/>
    </font>
    <font>
      <b/>
      <u/>
      <sz val="12"/>
      <color rgb="FF0000FF"/>
      <name val="Calibri"/>
      <family val="2"/>
    </font>
    <font>
      <b/>
      <sz val="12"/>
      <color rgb="FF0000FF"/>
      <name val="Calibri"/>
      <family val="2"/>
    </font>
    <font>
      <b/>
      <sz val="15"/>
      <color rgb="FFFF0000"/>
      <name val="Calibri"/>
      <family val="2"/>
    </font>
    <font>
      <b/>
      <sz val="13"/>
      <color rgb="FFFF0000"/>
      <name val="Calibri"/>
      <family val="2"/>
    </font>
    <font>
      <b/>
      <i/>
      <sz val="12"/>
      <color rgb="FFFF0000"/>
      <name val="Calibri"/>
      <family val="2"/>
    </font>
    <font>
      <b/>
      <u/>
      <sz val="12"/>
      <color rgb="FF00B0F0"/>
      <name val="Calibri"/>
      <family val="2"/>
    </font>
    <font>
      <sz val="12"/>
      <color rgb="FF00B0F0"/>
      <name val="Calibri"/>
      <family val="2"/>
    </font>
    <font>
      <sz val="12"/>
      <color rgb="FF0000FF"/>
      <name val="Calibri"/>
      <family val="2"/>
    </font>
    <font>
      <b/>
      <sz val="50"/>
      <color theme="1"/>
      <name val="Calibri"/>
      <family val="2"/>
    </font>
    <font>
      <b/>
      <sz val="15"/>
      <color rgb="FF7030A0"/>
      <name val="Calibri"/>
      <family val="2"/>
    </font>
    <font>
      <b/>
      <u/>
      <sz val="12"/>
      <color rgb="FF7030A0"/>
      <name val="Calibri"/>
      <family val="2"/>
    </font>
    <font>
      <b/>
      <sz val="12"/>
      <color rgb="FF7030A0"/>
      <name val="Calibri"/>
      <family val="2"/>
    </font>
    <font>
      <b/>
      <i/>
      <sz val="12"/>
      <color rgb="FF7030A0"/>
      <name val="Calibri"/>
      <family val="2"/>
    </font>
    <font>
      <b/>
      <i/>
      <sz val="12"/>
      <color rgb="FF0000FF"/>
      <name val="Calibri"/>
      <family val="2"/>
    </font>
    <font>
      <b/>
      <i/>
      <sz val="12"/>
      <color rgb="FF00B050"/>
      <name val="Calibri"/>
      <family val="2"/>
    </font>
    <font>
      <b/>
      <sz val="12"/>
      <color rgb="FF0070C0"/>
      <name val="Calibri"/>
      <family val="2"/>
    </font>
    <font>
      <b/>
      <sz val="12"/>
      <color rgb="FF00B0F0"/>
      <name val="Calibri"/>
      <family val="2"/>
    </font>
    <font>
      <b/>
      <i/>
      <sz val="12"/>
      <color rgb="FF00B0F0"/>
      <name val="Calibri"/>
      <family val="2"/>
    </font>
    <font>
      <b/>
      <sz val="40"/>
      <color rgb="FF000000"/>
      <name val="Calibri"/>
      <family val="2"/>
    </font>
    <font>
      <sz val="15"/>
      <color theme="1"/>
      <name val="Calibri"/>
      <family val="2"/>
    </font>
    <font>
      <b/>
      <u/>
      <sz val="12"/>
      <color rgb="FF70AD47"/>
      <name val="Calibri"/>
      <family val="2"/>
    </font>
    <font>
      <b/>
      <sz val="12"/>
      <color rgb="FF70AD47"/>
      <name val="Calibri"/>
      <family val="2"/>
    </font>
    <font>
      <b/>
      <sz val="11"/>
      <color rgb="FF0000FF"/>
      <name val="Calibri"/>
      <family val="2"/>
    </font>
    <font>
      <b/>
      <sz val="11"/>
      <color rgb="FF38761D"/>
      <name val="Calibri"/>
      <family val="2"/>
    </font>
    <font>
      <b/>
      <sz val="11"/>
      <color rgb="FF9BBB59"/>
      <name val="Calibri"/>
      <family val="2"/>
    </font>
    <font>
      <b/>
      <sz val="11"/>
      <color rgb="FF7030A0"/>
      <name val="Calibri"/>
      <family val="2"/>
    </font>
    <font>
      <b/>
      <u/>
      <sz val="10"/>
      <color theme="1"/>
      <name val="Calibri"/>
      <family val="2"/>
    </font>
    <font>
      <b/>
      <sz val="15"/>
      <color rgb="FF00B0F0"/>
      <name val="Calibri"/>
      <family val="2"/>
    </font>
    <font>
      <b/>
      <sz val="15"/>
      <color rgb="FF0070C0"/>
      <name val="Calibri"/>
      <family val="2"/>
    </font>
    <font>
      <sz val="11"/>
      <color rgb="FF444444"/>
      <name val="Calibri"/>
      <family val="2"/>
      <charset val="1"/>
    </font>
    <font>
      <strike/>
      <sz val="10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b/>
      <sz val="11"/>
      <color rgb="FF000000"/>
      <name val="Calibri"/>
      <family val="2"/>
    </font>
    <font>
      <b/>
      <sz val="9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</font>
    <font>
      <sz val="20"/>
      <color theme="1"/>
      <name val="Calibri"/>
      <family val="2"/>
    </font>
    <font>
      <sz val="20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E69138"/>
      <name val="Calibri"/>
      <family val="2"/>
      <scheme val="minor"/>
    </font>
    <font>
      <b/>
      <sz val="11"/>
      <color rgb="FFFF9900"/>
      <name val="Calibri"/>
      <family val="2"/>
      <scheme val="minor"/>
    </font>
    <font>
      <b/>
      <sz val="11"/>
      <color rgb="FFBF9000"/>
      <name val="Calibri"/>
      <family val="2"/>
      <scheme val="minor"/>
    </font>
    <font>
      <b/>
      <u/>
      <sz val="12"/>
      <color rgb="FF0000FF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8"/>
      <color theme="8" tint="0.79998168889431442"/>
      <name val="Calibri"/>
      <family val="2"/>
    </font>
    <font>
      <b/>
      <sz val="18"/>
      <color theme="7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4"/>
      <color theme="7"/>
      <name val="Calibri"/>
      <family val="2"/>
      <scheme val="minor"/>
    </font>
    <font>
      <b/>
      <sz val="12"/>
      <color rgb="FFFFFF00"/>
      <name val="Calibri"/>
      <family val="2"/>
    </font>
    <font>
      <b/>
      <sz val="11"/>
      <color rgb="FFFFFF00"/>
      <name val="Arial Black"/>
      <family val="2"/>
    </font>
    <font>
      <b/>
      <sz val="11"/>
      <color theme="2"/>
      <name val="Arial Black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  <fill>
      <patternFill patternType="solid">
        <fgColor rgb="FFFF66CC"/>
        <bgColor rgb="FFFF66CC"/>
      </patternFill>
    </fill>
    <fill>
      <patternFill patternType="solid">
        <fgColor rgb="FF92D050"/>
        <bgColor rgb="FF92D050"/>
      </patternFill>
    </fill>
    <fill>
      <patternFill patternType="solid">
        <fgColor rgb="FF00B0F0"/>
        <bgColor rgb="FF00B0F0"/>
      </patternFill>
    </fill>
    <fill>
      <patternFill patternType="solid">
        <fgColor rgb="FFCCC0D9"/>
        <bgColor rgb="FFCCC0D9"/>
      </patternFill>
    </fill>
    <fill>
      <patternFill patternType="solid">
        <fgColor theme="7"/>
        <bgColor theme="7"/>
      </patternFill>
    </fill>
    <fill>
      <patternFill patternType="solid">
        <fgColor rgb="FF00B050"/>
        <bgColor rgb="FF00B050"/>
      </patternFill>
    </fill>
    <fill>
      <patternFill patternType="solid">
        <fgColor rgb="FFE36C09"/>
        <bgColor rgb="FFE36C09"/>
      </patternFill>
    </fill>
    <fill>
      <patternFill patternType="solid">
        <fgColor rgb="FFC00000"/>
        <bgColor rgb="FFC00000"/>
      </patternFill>
    </fill>
    <fill>
      <patternFill patternType="solid">
        <fgColor rgb="FFC4BD97"/>
        <bgColor rgb="FFC4BD97"/>
      </patternFill>
    </fill>
    <fill>
      <patternFill patternType="solid">
        <fgColor rgb="FF38761D"/>
        <bgColor rgb="FF38761D"/>
      </patternFill>
    </fill>
    <fill>
      <patternFill patternType="solid">
        <fgColor rgb="FFD6E3BC"/>
        <bgColor rgb="FFD6E3BC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rgb="FFFFFF00"/>
      </patternFill>
    </fill>
    <fill>
      <patternFill patternType="solid">
        <fgColor theme="7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rgb="FF000000"/>
      </patternFill>
    </fill>
  </fills>
  <borders count="17">
    <border>
      <left/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408">
    <xf numFmtId="0" fontId="0" fillId="0" borderId="0" xfId="0"/>
    <xf numFmtId="0" fontId="1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14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0" fontId="12" fillId="0" borderId="0" xfId="0" applyFont="1"/>
    <xf numFmtId="0" fontId="15" fillId="0" borderId="0" xfId="0" applyFont="1"/>
    <xf numFmtId="0" fontId="18" fillId="0" borderId="0" xfId="0" applyFont="1"/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0" fillId="16" borderId="1" xfId="0" applyFont="1" applyFill="1" applyBorder="1" applyAlignment="1">
      <alignment horizontal="left"/>
    </xf>
    <xf numFmtId="0" fontId="30" fillId="16" borderId="2" xfId="0" applyFont="1" applyFill="1" applyBorder="1"/>
    <xf numFmtId="0" fontId="30" fillId="16" borderId="3" xfId="0" applyFont="1" applyFill="1" applyBorder="1"/>
    <xf numFmtId="0" fontId="6" fillId="0" borderId="4" xfId="0" applyFont="1" applyBorder="1" applyAlignment="1">
      <alignment horizontal="center" vertical="center"/>
    </xf>
    <xf numFmtId="0" fontId="16" fillId="0" borderId="0" xfId="0" applyFont="1"/>
    <xf numFmtId="21" fontId="7" fillId="0" borderId="4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7" fillId="0" borderId="4" xfId="0" applyFont="1" applyBorder="1" applyAlignment="1">
      <alignment horizontal="center" vertical="center" wrapText="1"/>
    </xf>
    <xf numFmtId="49" fontId="7" fillId="0" borderId="4" xfId="0" applyNumberFormat="1" applyFont="1" applyBorder="1" applyAlignment="1">
      <alignment horizontal="center" vertical="center"/>
    </xf>
    <xf numFmtId="0" fontId="30" fillId="16" borderId="7" xfId="0" applyFont="1" applyFill="1" applyBorder="1" applyAlignment="1">
      <alignment horizontal="left"/>
    </xf>
    <xf numFmtId="0" fontId="30" fillId="16" borderId="8" xfId="0" applyFont="1" applyFill="1" applyBorder="1"/>
    <xf numFmtId="0" fontId="30" fillId="16" borderId="9" xfId="0" applyFont="1" applyFill="1" applyBorder="1"/>
    <xf numFmtId="0" fontId="33" fillId="0" borderId="0" xfId="0" applyFont="1"/>
    <xf numFmtId="0" fontId="30" fillId="16" borderId="1" xfId="0" applyFont="1" applyFill="1" applyBorder="1"/>
    <xf numFmtId="0" fontId="50" fillId="0" borderId="0" xfId="0" applyFont="1"/>
    <xf numFmtId="0" fontId="30" fillId="0" borderId="0" xfId="0" applyFont="1"/>
    <xf numFmtId="0" fontId="1" fillId="0" borderId="0" xfId="0" applyFont="1" applyAlignment="1">
      <alignment wrapText="1"/>
    </xf>
    <xf numFmtId="0" fontId="2" fillId="2" borderId="11" xfId="0" applyFont="1" applyFill="1" applyBorder="1"/>
    <xf numFmtId="0" fontId="2" fillId="2" borderId="11" xfId="0" applyFont="1" applyFill="1" applyBorder="1" applyAlignment="1">
      <alignment wrapText="1"/>
    </xf>
    <xf numFmtId="0" fontId="3" fillId="2" borderId="11" xfId="0" applyFont="1" applyFill="1" applyBorder="1"/>
    <xf numFmtId="0" fontId="2" fillId="3" borderId="11" xfId="0" applyFont="1" applyFill="1" applyBorder="1"/>
    <xf numFmtId="0" fontId="2" fillId="3" borderId="11" xfId="0" applyFont="1" applyFill="1" applyBorder="1" applyAlignment="1">
      <alignment wrapText="1"/>
    </xf>
    <xf numFmtId="0" fontId="2" fillId="4" borderId="11" xfId="0" applyFont="1" applyFill="1" applyBorder="1"/>
    <xf numFmtId="0" fontId="2" fillId="4" borderId="11" xfId="0" applyFont="1" applyFill="1" applyBorder="1" applyAlignment="1">
      <alignment wrapText="1"/>
    </xf>
    <xf numFmtId="0" fontId="2" fillId="5" borderId="11" xfId="0" applyFont="1" applyFill="1" applyBorder="1"/>
    <xf numFmtId="0" fontId="2" fillId="5" borderId="11" xfId="0" applyFont="1" applyFill="1" applyBorder="1" applyAlignment="1">
      <alignment wrapText="1"/>
    </xf>
    <xf numFmtId="0" fontId="2" fillId="5" borderId="11" xfId="0" applyFont="1" applyFill="1" applyBorder="1" applyAlignment="1">
      <alignment vertical="center"/>
    </xf>
    <xf numFmtId="0" fontId="3" fillId="5" borderId="11" xfId="0" applyFont="1" applyFill="1" applyBorder="1" applyAlignment="1">
      <alignment vertical="center" wrapText="1"/>
    </xf>
    <xf numFmtId="0" fontId="3" fillId="5" borderId="11" xfId="0" applyFont="1" applyFill="1" applyBorder="1" applyAlignment="1">
      <alignment vertical="center"/>
    </xf>
    <xf numFmtId="0" fontId="2" fillId="6" borderId="11" xfId="0" applyFont="1" applyFill="1" applyBorder="1"/>
    <xf numFmtId="0" fontId="2" fillId="6" borderId="11" xfId="0" applyFont="1" applyFill="1" applyBorder="1" applyAlignment="1">
      <alignment vertical="center"/>
    </xf>
    <xf numFmtId="0" fontId="2" fillId="6" borderId="11" xfId="0" applyFont="1" applyFill="1" applyBorder="1" applyAlignment="1">
      <alignment horizontal="left" wrapText="1"/>
    </xf>
    <xf numFmtId="164" fontId="2" fillId="6" borderId="11" xfId="0" applyNumberFormat="1" applyFont="1" applyFill="1" applyBorder="1"/>
    <xf numFmtId="0" fontId="2" fillId="6" borderId="11" xfId="0" applyFont="1" applyFill="1" applyBorder="1" applyAlignment="1">
      <alignment horizontal="right" wrapText="1"/>
    </xf>
    <xf numFmtId="0" fontId="2" fillId="7" borderId="11" xfId="0" applyFont="1" applyFill="1" applyBorder="1"/>
    <xf numFmtId="0" fontId="3" fillId="7" borderId="11" xfId="0" applyFont="1" applyFill="1" applyBorder="1"/>
    <xf numFmtId="0" fontId="3" fillId="7" borderId="11" xfId="0" applyFont="1" applyFill="1" applyBorder="1" applyAlignment="1">
      <alignment wrapText="1"/>
    </xf>
    <xf numFmtId="0" fontId="2" fillId="7" borderId="11" xfId="0" applyFont="1" applyFill="1" applyBorder="1" applyAlignment="1">
      <alignment wrapText="1"/>
    </xf>
    <xf numFmtId="0" fontId="2" fillId="8" borderId="11" xfId="0" applyFont="1" applyFill="1" applyBorder="1"/>
    <xf numFmtId="0" fontId="2" fillId="8" borderId="11" xfId="0" applyFont="1" applyFill="1" applyBorder="1" applyAlignment="1">
      <alignment wrapText="1"/>
    </xf>
    <xf numFmtId="0" fontId="2" fillId="9" borderId="11" xfId="0" applyFont="1" applyFill="1" applyBorder="1" applyAlignment="1">
      <alignment horizontal="left" vertical="top"/>
    </xf>
    <xf numFmtId="0" fontId="2" fillId="9" borderId="11" xfId="0" applyFont="1" applyFill="1" applyBorder="1" applyAlignment="1">
      <alignment horizontal="left" vertical="top" wrapText="1"/>
    </xf>
    <xf numFmtId="0" fontId="2" fillId="10" borderId="11" xfId="0" applyFont="1" applyFill="1" applyBorder="1" applyAlignment="1">
      <alignment vertical="top"/>
    </xf>
    <xf numFmtId="0" fontId="3" fillId="10" borderId="11" xfId="0" applyFont="1" applyFill="1" applyBorder="1" applyAlignment="1">
      <alignment vertical="top" wrapText="1"/>
    </xf>
    <xf numFmtId="0" fontId="2" fillId="11" borderId="11" xfId="0" applyFont="1" applyFill="1" applyBorder="1"/>
    <xf numFmtId="0" fontId="2" fillId="11" borderId="11" xfId="0" applyFont="1" applyFill="1" applyBorder="1" applyAlignment="1">
      <alignment horizontal="left"/>
    </xf>
    <xf numFmtId="0" fontId="2" fillId="11" borderId="11" xfId="0" applyFont="1" applyFill="1" applyBorder="1" applyAlignment="1">
      <alignment wrapText="1"/>
    </xf>
    <xf numFmtId="0" fontId="2" fillId="12" borderId="11" xfId="0" applyFont="1" applyFill="1" applyBorder="1"/>
    <xf numFmtId="0" fontId="2" fillId="12" borderId="11" xfId="0" applyFont="1" applyFill="1" applyBorder="1" applyAlignment="1">
      <alignment horizontal="left"/>
    </xf>
    <xf numFmtId="0" fontId="2" fillId="12" borderId="11" xfId="0" applyFont="1" applyFill="1" applyBorder="1" applyAlignment="1">
      <alignment wrapText="1"/>
    </xf>
    <xf numFmtId="0" fontId="2" fillId="13" borderId="11" xfId="0" applyFont="1" applyFill="1" applyBorder="1"/>
    <xf numFmtId="0" fontId="2" fillId="13" borderId="11" xfId="0" applyFont="1" applyFill="1" applyBorder="1" applyAlignment="1">
      <alignment horizontal="left"/>
    </xf>
    <xf numFmtId="0" fontId="2" fillId="13" borderId="11" xfId="0" applyFont="1" applyFill="1" applyBorder="1" applyAlignment="1">
      <alignment wrapText="1"/>
    </xf>
    <xf numFmtId="0" fontId="30" fillId="16" borderId="10" xfId="0" applyFont="1" applyFill="1" applyBorder="1" applyAlignment="1">
      <alignment horizontal="left"/>
    </xf>
    <xf numFmtId="0" fontId="30" fillId="16" borderId="11" xfId="0" applyFont="1" applyFill="1" applyBorder="1"/>
    <xf numFmtId="0" fontId="30" fillId="16" borderId="12" xfId="0" applyFont="1" applyFill="1" applyBorder="1"/>
    <xf numFmtId="0" fontId="61" fillId="2" borderId="11" xfId="0" applyFont="1" applyFill="1" applyBorder="1"/>
    <xf numFmtId="0" fontId="61" fillId="2" borderId="11" xfId="0" applyFont="1" applyFill="1" applyBorder="1" applyAlignment="1">
      <alignment wrapText="1"/>
    </xf>
    <xf numFmtId="0" fontId="61" fillId="4" borderId="11" xfId="0" applyFont="1" applyFill="1" applyBorder="1"/>
    <xf numFmtId="0" fontId="61" fillId="4" borderId="11" xfId="0" applyFont="1" applyFill="1" applyBorder="1" applyAlignment="1">
      <alignment wrapText="1"/>
    </xf>
    <xf numFmtId="0" fontId="61" fillId="5" borderId="11" xfId="0" applyFont="1" applyFill="1" applyBorder="1"/>
    <xf numFmtId="0" fontId="61" fillId="5" borderId="11" xfId="0" applyFont="1" applyFill="1" applyBorder="1" applyAlignment="1">
      <alignment wrapText="1"/>
    </xf>
    <xf numFmtId="0" fontId="61" fillId="7" borderId="11" xfId="0" applyFont="1" applyFill="1" applyBorder="1"/>
    <xf numFmtId="0" fontId="61" fillId="7" borderId="11" xfId="0" applyFont="1" applyFill="1" applyBorder="1" applyAlignment="1">
      <alignment wrapText="1"/>
    </xf>
    <xf numFmtId="0" fontId="62" fillId="7" borderId="11" xfId="0" applyFont="1" applyFill="1" applyBorder="1"/>
    <xf numFmtId="0" fontId="6" fillId="0" borderId="0" xfId="0" applyFont="1" applyAlignment="1">
      <alignment vertical="center" wrapText="1"/>
    </xf>
    <xf numFmtId="49" fontId="63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/>
    </xf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60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0" fillId="0" borderId="0" xfId="0" applyNumberFormat="1" applyAlignment="1">
      <alignment wrapText="1"/>
    </xf>
    <xf numFmtId="49" fontId="60" fillId="0" borderId="0" xfId="0" applyNumberFormat="1" applyFont="1" applyAlignment="1">
      <alignment horizontal="center" wrapText="1"/>
    </xf>
    <xf numFmtId="49" fontId="65" fillId="0" borderId="11" xfId="0" applyNumberFormat="1" applyFont="1" applyBorder="1" applyAlignment="1">
      <alignment horizontal="center" vertical="center" wrapText="1"/>
    </xf>
    <xf numFmtId="0" fontId="65" fillId="0" borderId="11" xfId="0" applyFont="1" applyBorder="1" applyAlignment="1">
      <alignment horizontal="center" vertical="center" wrapText="1"/>
    </xf>
    <xf numFmtId="165" fontId="65" fillId="0" borderId="11" xfId="0" applyNumberFormat="1" applyFont="1" applyBorder="1" applyAlignment="1">
      <alignment horizontal="center" vertical="center" wrapText="1"/>
    </xf>
    <xf numFmtId="166" fontId="7" fillId="0" borderId="0" xfId="0" applyNumberFormat="1" applyFont="1" applyAlignment="1">
      <alignment horizontal="center" vertical="center" wrapText="1"/>
    </xf>
    <xf numFmtId="166" fontId="7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center"/>
    </xf>
    <xf numFmtId="167" fontId="6" fillId="0" borderId="0" xfId="1" applyNumberFormat="1" applyFont="1" applyAlignment="1">
      <alignment horizontal="center" vertical="center"/>
    </xf>
    <xf numFmtId="167" fontId="7" fillId="0" borderId="0" xfId="1" applyNumberFormat="1" applyFont="1" applyAlignment="1">
      <alignment horizontal="center" vertical="center" wrapText="1"/>
    </xf>
    <xf numFmtId="167" fontId="7" fillId="0" borderId="0" xfId="1" applyNumberFormat="1" applyFont="1" applyAlignment="1">
      <alignment horizontal="center" vertical="center"/>
    </xf>
    <xf numFmtId="167" fontId="9" fillId="0" borderId="0" xfId="1" applyNumberFormat="1" applyFont="1" applyAlignment="1">
      <alignment horizontal="center" vertical="center"/>
    </xf>
    <xf numFmtId="167" fontId="0" fillId="0" borderId="0" xfId="1" applyNumberFormat="1" applyFont="1" applyAlignment="1">
      <alignment horizontal="center"/>
    </xf>
    <xf numFmtId="167" fontId="0" fillId="0" borderId="0" xfId="0" applyNumberFormat="1" applyAlignment="1">
      <alignment wrapText="1"/>
    </xf>
    <xf numFmtId="49" fontId="20" fillId="0" borderId="0" xfId="0" applyNumberFormat="1" applyFont="1"/>
    <xf numFmtId="49" fontId="30" fillId="16" borderId="11" xfId="0" applyNumberFormat="1" applyFont="1" applyFill="1" applyBorder="1"/>
    <xf numFmtId="49" fontId="30" fillId="16" borderId="2" xfId="0" applyNumberFormat="1" applyFont="1" applyFill="1" applyBorder="1"/>
    <xf numFmtId="49" fontId="6" fillId="0" borderId="4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 wrapText="1"/>
    </xf>
    <xf numFmtId="49" fontId="7" fillId="0" borderId="4" xfId="0" applyNumberFormat="1" applyFont="1" applyBorder="1" applyAlignment="1">
      <alignment horizontal="center" vertical="center" wrapText="1"/>
    </xf>
    <xf numFmtId="49" fontId="18" fillId="0" borderId="0" xfId="0" applyNumberFormat="1" applyFont="1"/>
    <xf numFmtId="49" fontId="12" fillId="0" borderId="0" xfId="0" applyNumberFormat="1" applyFont="1"/>
    <xf numFmtId="49" fontId="9" fillId="0" borderId="4" xfId="0" applyNumberFormat="1" applyFont="1" applyBorder="1" applyAlignment="1">
      <alignment horizontal="center" vertical="center"/>
    </xf>
    <xf numFmtId="49" fontId="7" fillId="17" borderId="4" xfId="0" applyNumberFormat="1" applyFont="1" applyFill="1" applyBorder="1" applyAlignment="1">
      <alignment horizontal="center" vertical="center"/>
    </xf>
    <xf numFmtId="49" fontId="12" fillId="0" borderId="0" xfId="0" applyNumberFormat="1" applyFont="1" applyAlignment="1">
      <alignment horizontal="center"/>
    </xf>
    <xf numFmtId="49" fontId="18" fillId="0" borderId="0" xfId="0" applyNumberFormat="1" applyFont="1" applyAlignment="1">
      <alignment horizontal="left"/>
    </xf>
    <xf numFmtId="49" fontId="12" fillId="0" borderId="0" xfId="0" applyNumberFormat="1" applyFont="1" applyAlignment="1">
      <alignment horizontal="left"/>
    </xf>
    <xf numFmtId="49" fontId="18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center"/>
    </xf>
    <xf numFmtId="167" fontId="18" fillId="0" borderId="0" xfId="0" applyNumberFormat="1" applyFont="1" applyAlignment="1">
      <alignment horizontal="center"/>
    </xf>
    <xf numFmtId="167" fontId="9" fillId="0" borderId="4" xfId="0" applyNumberFormat="1" applyFont="1" applyBorder="1" applyAlignment="1">
      <alignment horizontal="center" vertical="center"/>
    </xf>
    <xf numFmtId="167" fontId="7" fillId="0" borderId="4" xfId="0" applyNumberFormat="1" applyFont="1" applyBorder="1" applyAlignment="1">
      <alignment horizontal="center" vertical="center"/>
    </xf>
    <xf numFmtId="167" fontId="7" fillId="17" borderId="4" xfId="0" applyNumberFormat="1" applyFont="1" applyFill="1" applyBorder="1" applyAlignment="1">
      <alignment horizontal="center" vertical="center"/>
    </xf>
    <xf numFmtId="167" fontId="0" fillId="0" borderId="0" xfId="0" applyNumberFormat="1"/>
    <xf numFmtId="166" fontId="13" fillId="0" borderId="0" xfId="0" applyNumberFormat="1" applyFont="1"/>
    <xf numFmtId="166" fontId="18" fillId="0" borderId="0" xfId="0" applyNumberFormat="1" applyFont="1" applyAlignment="1">
      <alignment horizontal="left"/>
    </xf>
    <xf numFmtId="166" fontId="18" fillId="0" borderId="0" xfId="0" applyNumberFormat="1" applyFont="1" applyAlignment="1">
      <alignment horizontal="center"/>
    </xf>
    <xf numFmtId="166" fontId="12" fillId="0" borderId="0" xfId="0" applyNumberFormat="1" applyFont="1" applyAlignment="1">
      <alignment horizontal="left"/>
    </xf>
    <xf numFmtId="166" fontId="9" fillId="0" borderId="4" xfId="0" applyNumberFormat="1" applyFont="1" applyBorder="1" applyAlignment="1">
      <alignment horizontal="center" vertical="center"/>
    </xf>
    <xf numFmtId="166" fontId="7" fillId="0" borderId="4" xfId="0" applyNumberFormat="1" applyFont="1" applyBorder="1" applyAlignment="1">
      <alignment horizontal="center" vertical="center"/>
    </xf>
    <xf numFmtId="166" fontId="0" fillId="0" borderId="0" xfId="0" applyNumberFormat="1"/>
    <xf numFmtId="166" fontId="15" fillId="0" borderId="0" xfId="0" applyNumberFormat="1" applyFont="1"/>
    <xf numFmtId="166" fontId="19" fillId="0" borderId="0" xfId="0" applyNumberFormat="1" applyFont="1" applyAlignment="1">
      <alignment horizontal="center"/>
    </xf>
    <xf numFmtId="166" fontId="23" fillId="0" borderId="0" xfId="0" applyNumberFormat="1" applyFont="1" applyAlignment="1">
      <alignment horizontal="center"/>
    </xf>
    <xf numFmtId="49" fontId="21" fillId="0" borderId="0" xfId="0" applyNumberFormat="1" applyFont="1" applyAlignment="1">
      <alignment horizontal="center"/>
    </xf>
    <xf numFmtId="49" fontId="23" fillId="0" borderId="0" xfId="0" applyNumberFormat="1" applyFont="1" applyAlignment="1">
      <alignment horizontal="center"/>
    </xf>
    <xf numFmtId="49" fontId="30" fillId="16" borderId="12" xfId="0" applyNumberFormat="1" applyFont="1" applyFill="1" applyBorder="1"/>
    <xf numFmtId="49" fontId="30" fillId="16" borderId="3" xfId="0" applyNumberFormat="1" applyFont="1" applyFill="1" applyBorder="1"/>
    <xf numFmtId="49" fontId="19" fillId="0" borderId="0" xfId="0" applyNumberFormat="1" applyFont="1" applyAlignment="1">
      <alignment horizontal="center"/>
    </xf>
    <xf numFmtId="49" fontId="16" fillId="0" borderId="0" xfId="0" applyNumberFormat="1" applyFont="1" applyAlignment="1">
      <alignment horizontal="center"/>
    </xf>
    <xf numFmtId="49" fontId="20" fillId="0" borderId="0" xfId="0" applyNumberFormat="1" applyFont="1" applyAlignment="1">
      <alignment wrapText="1"/>
    </xf>
    <xf numFmtId="49" fontId="30" fillId="16" borderId="11" xfId="0" applyNumberFormat="1" applyFont="1" applyFill="1" applyBorder="1" applyAlignment="1">
      <alignment wrapText="1"/>
    </xf>
    <xf numFmtId="49" fontId="30" fillId="16" borderId="2" xfId="0" applyNumberFormat="1" applyFont="1" applyFill="1" applyBorder="1" applyAlignment="1">
      <alignment wrapText="1"/>
    </xf>
    <xf numFmtId="49" fontId="6" fillId="0" borderId="4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wrapText="1"/>
    </xf>
    <xf numFmtId="49" fontId="18" fillId="0" borderId="0" xfId="0" applyNumberFormat="1" applyFont="1" applyAlignment="1">
      <alignment wrapText="1"/>
    </xf>
    <xf numFmtId="49" fontId="18" fillId="0" borderId="0" xfId="0" applyNumberFormat="1" applyFont="1" applyAlignment="1">
      <alignment horizontal="left" wrapText="1"/>
    </xf>
    <xf numFmtId="49" fontId="18" fillId="0" borderId="0" xfId="0" applyNumberFormat="1" applyFont="1" applyAlignment="1">
      <alignment horizontal="center" wrapText="1"/>
    </xf>
    <xf numFmtId="49" fontId="19" fillId="0" borderId="0" xfId="0" applyNumberFormat="1" applyFont="1" applyAlignment="1">
      <alignment horizontal="center" wrapText="1"/>
    </xf>
    <xf numFmtId="49" fontId="21" fillId="0" borderId="0" xfId="0" applyNumberFormat="1" applyFont="1" applyAlignment="1">
      <alignment horizontal="center" wrapText="1"/>
    </xf>
    <xf numFmtId="49" fontId="12" fillId="0" borderId="0" xfId="0" applyNumberFormat="1" applyFont="1" applyAlignment="1">
      <alignment wrapText="1"/>
    </xf>
    <xf numFmtId="49" fontId="12" fillId="0" borderId="0" xfId="0" applyNumberFormat="1" applyFont="1" applyAlignment="1">
      <alignment horizontal="left" wrapText="1"/>
    </xf>
    <xf numFmtId="49" fontId="23" fillId="0" borderId="0" xfId="0" applyNumberFormat="1" applyFont="1" applyAlignment="1">
      <alignment horizontal="center" wrapText="1"/>
    </xf>
    <xf numFmtId="49" fontId="16" fillId="0" borderId="0" xfId="0" applyNumberFormat="1" applyFont="1" applyAlignment="1">
      <alignment horizontal="center" wrapText="1"/>
    </xf>
    <xf numFmtId="49" fontId="28" fillId="16" borderId="10" xfId="0" applyNumberFormat="1" applyFont="1" applyFill="1" applyBorder="1" applyAlignment="1">
      <alignment horizontal="left" wrapText="1"/>
    </xf>
    <xf numFmtId="49" fontId="30" fillId="16" borderId="12" xfId="0" applyNumberFormat="1" applyFont="1" applyFill="1" applyBorder="1" applyAlignment="1">
      <alignment wrapText="1"/>
    </xf>
    <xf numFmtId="49" fontId="30" fillId="16" borderId="10" xfId="0" applyNumberFormat="1" applyFont="1" applyFill="1" applyBorder="1" applyAlignment="1">
      <alignment horizontal="left" wrapText="1"/>
    </xf>
    <xf numFmtId="49" fontId="30" fillId="16" borderId="1" xfId="0" applyNumberFormat="1" applyFont="1" applyFill="1" applyBorder="1" applyAlignment="1">
      <alignment horizontal="left" wrapText="1"/>
    </xf>
    <xf numFmtId="49" fontId="30" fillId="16" borderId="3" xfId="0" applyNumberFormat="1" applyFont="1" applyFill="1" applyBorder="1" applyAlignment="1">
      <alignment wrapText="1"/>
    </xf>
    <xf numFmtId="49" fontId="7" fillId="17" borderId="4" xfId="0" applyNumberFormat="1" applyFont="1" applyFill="1" applyBorder="1" applyAlignment="1">
      <alignment horizontal="center" vertical="center" wrapText="1"/>
    </xf>
    <xf numFmtId="167" fontId="12" fillId="0" borderId="0" xfId="0" applyNumberFormat="1" applyFont="1" applyAlignment="1">
      <alignment horizontal="center" wrapText="1"/>
    </xf>
    <xf numFmtId="167" fontId="18" fillId="0" borderId="0" xfId="0" applyNumberFormat="1" applyFont="1" applyAlignment="1">
      <alignment horizontal="center" wrapText="1"/>
    </xf>
    <xf numFmtId="167" fontId="6" fillId="0" borderId="4" xfId="0" applyNumberFormat="1" applyFont="1" applyBorder="1" applyAlignment="1">
      <alignment horizontal="center" vertical="center" wrapText="1"/>
    </xf>
    <xf numFmtId="167" fontId="7" fillId="0" borderId="4" xfId="0" applyNumberFormat="1" applyFont="1" applyBorder="1" applyAlignment="1">
      <alignment horizontal="center" vertical="center" wrapText="1"/>
    </xf>
    <xf numFmtId="167" fontId="9" fillId="0" borderId="4" xfId="0" applyNumberFormat="1" applyFont="1" applyBorder="1" applyAlignment="1">
      <alignment horizontal="center" vertical="center" wrapText="1"/>
    </xf>
    <xf numFmtId="167" fontId="7" fillId="17" borderId="4" xfId="0" applyNumberFormat="1" applyFont="1" applyFill="1" applyBorder="1" applyAlignment="1">
      <alignment horizontal="center" vertical="center" wrapText="1"/>
    </xf>
    <xf numFmtId="49" fontId="30" fillId="16" borderId="10" xfId="0" applyNumberFormat="1" applyFont="1" applyFill="1" applyBorder="1" applyAlignment="1">
      <alignment horizontal="left"/>
    </xf>
    <xf numFmtId="49" fontId="30" fillId="16" borderId="1" xfId="0" applyNumberFormat="1" applyFont="1" applyFill="1" applyBorder="1" applyAlignment="1">
      <alignment horizontal="left"/>
    </xf>
    <xf numFmtId="49" fontId="13" fillId="0" borderId="0" xfId="0" applyNumberFormat="1" applyFont="1"/>
    <xf numFmtId="49" fontId="15" fillId="0" borderId="0" xfId="0" applyNumberFormat="1" applyFont="1"/>
    <xf numFmtId="0" fontId="30" fillId="16" borderId="11" xfId="0" applyFont="1" applyFill="1" applyBorder="1" applyAlignment="1">
      <alignment wrapText="1"/>
    </xf>
    <xf numFmtId="0" fontId="30" fillId="16" borderId="2" xfId="0" applyFont="1" applyFill="1" applyBorder="1" applyAlignment="1">
      <alignment wrapText="1"/>
    </xf>
    <xf numFmtId="0" fontId="6" fillId="0" borderId="4" xfId="0" applyFont="1" applyBorder="1" applyAlignment="1">
      <alignment horizontal="center" vertical="center" wrapText="1"/>
    </xf>
    <xf numFmtId="49" fontId="9" fillId="18" borderId="4" xfId="0" applyNumberFormat="1" applyFont="1" applyFill="1" applyBorder="1" applyAlignment="1">
      <alignment horizontal="center" vertical="center" wrapText="1"/>
    </xf>
    <xf numFmtId="167" fontId="9" fillId="18" borderId="4" xfId="0" applyNumberFormat="1" applyFont="1" applyFill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9" fillId="0" borderId="0" xfId="0" applyNumberFormat="1" applyFont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6" fillId="0" borderId="13" xfId="0" applyFont="1" applyBorder="1" applyAlignment="1">
      <alignment horizontal="center" vertical="center"/>
    </xf>
    <xf numFmtId="49" fontId="6" fillId="0" borderId="13" xfId="0" applyNumberFormat="1" applyFont="1" applyBorder="1" applyAlignment="1">
      <alignment horizontal="center" vertical="center" wrapText="1"/>
    </xf>
    <xf numFmtId="49" fontId="6" fillId="0" borderId="13" xfId="0" applyNumberFormat="1" applyFont="1" applyBorder="1" applyAlignment="1">
      <alignment horizontal="center" vertical="center"/>
    </xf>
    <xf numFmtId="167" fontId="6" fillId="0" borderId="13" xfId="0" applyNumberFormat="1" applyFont="1" applyBorder="1" applyAlignment="1">
      <alignment horizontal="center" vertical="center"/>
    </xf>
    <xf numFmtId="21" fontId="7" fillId="0" borderId="13" xfId="0" applyNumberFormat="1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49" fontId="9" fillId="0" borderId="13" xfId="0" applyNumberFormat="1" applyFont="1" applyBorder="1" applyAlignment="1">
      <alignment horizontal="center" vertical="center" wrapText="1"/>
    </xf>
    <xf numFmtId="49" fontId="9" fillId="0" borderId="13" xfId="0" applyNumberFormat="1" applyFont="1" applyBorder="1" applyAlignment="1">
      <alignment horizontal="center" vertical="center"/>
    </xf>
    <xf numFmtId="167" fontId="9" fillId="0" borderId="13" xfId="0" applyNumberFormat="1" applyFont="1" applyBorder="1" applyAlignment="1">
      <alignment horizontal="center" vertical="center"/>
    </xf>
    <xf numFmtId="166" fontId="9" fillId="0" borderId="13" xfId="0" applyNumberFormat="1" applyFont="1" applyBorder="1" applyAlignment="1">
      <alignment horizontal="center" vertical="center"/>
    </xf>
    <xf numFmtId="49" fontId="7" fillId="0" borderId="13" xfId="0" applyNumberFormat="1" applyFont="1" applyBorder="1" applyAlignment="1">
      <alignment horizontal="center" vertical="center"/>
    </xf>
    <xf numFmtId="49" fontId="7" fillId="0" borderId="13" xfId="0" applyNumberFormat="1" applyFont="1" applyBorder="1" applyAlignment="1">
      <alignment horizontal="center" vertical="center" wrapText="1"/>
    </xf>
    <xf numFmtId="49" fontId="60" fillId="0" borderId="13" xfId="0" quotePrefix="1" applyNumberFormat="1" applyFont="1" applyBorder="1" applyAlignment="1">
      <alignment horizontal="center" vertical="center" wrapText="1"/>
    </xf>
    <xf numFmtId="167" fontId="7" fillId="0" borderId="13" xfId="0" applyNumberFormat="1" applyFont="1" applyBorder="1" applyAlignment="1">
      <alignment horizontal="center" vertical="center"/>
    </xf>
    <xf numFmtId="166" fontId="7" fillId="0" borderId="13" xfId="0" applyNumberFormat="1" applyFont="1" applyBorder="1" applyAlignment="1">
      <alignment horizontal="center" vertical="center"/>
    </xf>
    <xf numFmtId="49" fontId="7" fillId="17" borderId="13" xfId="0" applyNumberFormat="1" applyFont="1" applyFill="1" applyBorder="1" applyAlignment="1">
      <alignment horizontal="center" vertical="center" wrapText="1"/>
    </xf>
    <xf numFmtId="49" fontId="7" fillId="17" borderId="13" xfId="0" applyNumberFormat="1" applyFont="1" applyFill="1" applyBorder="1" applyAlignment="1">
      <alignment horizontal="center" vertical="center"/>
    </xf>
    <xf numFmtId="167" fontId="7" fillId="17" borderId="13" xfId="0" applyNumberFormat="1" applyFont="1" applyFill="1" applyBorder="1" applyAlignment="1">
      <alignment horizontal="center" vertical="center"/>
    </xf>
    <xf numFmtId="166" fontId="6" fillId="0" borderId="0" xfId="0" applyNumberFormat="1" applyFont="1" applyAlignment="1">
      <alignment horizontal="center" vertical="center" wrapText="1"/>
    </xf>
    <xf numFmtId="0" fontId="7" fillId="0" borderId="0" xfId="0" quotePrefix="1" applyFont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 wrapText="1"/>
    </xf>
    <xf numFmtId="166" fontId="6" fillId="0" borderId="4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167" fontId="7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/>
    </xf>
    <xf numFmtId="0" fontId="2" fillId="6" borderId="11" xfId="0" applyFont="1" applyFill="1" applyBorder="1" applyAlignment="1">
      <alignment horizontal="left"/>
    </xf>
    <xf numFmtId="0" fontId="7" fillId="0" borderId="16" xfId="0" applyFont="1" applyBorder="1" applyAlignment="1">
      <alignment horizontal="center" vertical="center"/>
    </xf>
    <xf numFmtId="49" fontId="7" fillId="0" borderId="14" xfId="0" applyNumberFormat="1" applyFont="1" applyBorder="1" applyAlignment="1">
      <alignment horizontal="center" vertical="center" wrapText="1"/>
    </xf>
    <xf numFmtId="49" fontId="7" fillId="0" borderId="14" xfId="0" applyNumberFormat="1" applyFont="1" applyBorder="1" applyAlignment="1">
      <alignment horizontal="center" vertical="center"/>
    </xf>
    <xf numFmtId="1" fontId="7" fillId="0" borderId="14" xfId="0" applyNumberFormat="1" applyFont="1" applyBorder="1" applyAlignment="1">
      <alignment horizontal="center" vertical="center" wrapText="1"/>
    </xf>
    <xf numFmtId="167" fontId="7" fillId="0" borderId="14" xfId="1" applyNumberFormat="1" applyFont="1" applyBorder="1" applyAlignment="1">
      <alignment horizontal="center" vertical="center" wrapText="1"/>
    </xf>
    <xf numFmtId="166" fontId="7" fillId="0" borderId="14" xfId="0" applyNumberFormat="1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20" borderId="14" xfId="0" applyFont="1" applyFill="1" applyBorder="1" applyAlignment="1">
      <alignment horizontal="left" vertical="center" wrapText="1"/>
    </xf>
    <xf numFmtId="0" fontId="6" fillId="20" borderId="14" xfId="0" applyFont="1" applyFill="1" applyBorder="1" applyAlignment="1">
      <alignment horizontal="center" vertical="center" wrapText="1"/>
    </xf>
    <xf numFmtId="0" fontId="6" fillId="20" borderId="15" xfId="0" applyFont="1" applyFill="1" applyBorder="1" applyAlignment="1">
      <alignment horizontal="center" vertical="center" wrapText="1"/>
    </xf>
    <xf numFmtId="0" fontId="70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68" fillId="0" borderId="0" xfId="0" applyFont="1" applyAlignment="1">
      <alignment horizontal="center" vertical="center" wrapText="1"/>
    </xf>
    <xf numFmtId="49" fontId="69" fillId="0" borderId="11" xfId="0" applyNumberFormat="1" applyFont="1" applyBorder="1" applyAlignment="1">
      <alignment horizontal="center" vertical="center" wrapText="1"/>
    </xf>
    <xf numFmtId="0" fontId="25" fillId="16" borderId="7" xfId="0" applyFont="1" applyFill="1" applyBorder="1" applyAlignment="1">
      <alignment horizontal="left"/>
    </xf>
    <xf numFmtId="0" fontId="22" fillId="0" borderId="8" xfId="0" applyFont="1" applyBorder="1"/>
    <xf numFmtId="0" fontId="22" fillId="0" borderId="9" xfId="0" applyFont="1" applyBorder="1"/>
    <xf numFmtId="0" fontId="24" fillId="16" borderId="7" xfId="0" applyFont="1" applyFill="1" applyBorder="1" applyAlignment="1">
      <alignment horizontal="left"/>
    </xf>
    <xf numFmtId="0" fontId="26" fillId="16" borderId="10" xfId="0" applyFont="1" applyFill="1" applyBorder="1" applyAlignment="1">
      <alignment horizontal="left"/>
    </xf>
    <xf numFmtId="0" fontId="22" fillId="0" borderId="11" xfId="0" applyFont="1" applyBorder="1"/>
    <xf numFmtId="0" fontId="22" fillId="0" borderId="12" xfId="0" applyFont="1" applyBorder="1"/>
    <xf numFmtId="0" fontId="28" fillId="16" borderId="10" xfId="0" applyFont="1" applyFill="1" applyBorder="1" applyAlignment="1">
      <alignment horizontal="left"/>
    </xf>
    <xf numFmtId="0" fontId="16" fillId="15" borderId="2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/>
    </xf>
    <xf numFmtId="0" fontId="0" fillId="0" borderId="0" xfId="0"/>
    <xf numFmtId="0" fontId="11" fillId="0" borderId="0" xfId="0" applyFont="1"/>
    <xf numFmtId="0" fontId="14" fillId="0" borderId="0" xfId="0" applyFont="1"/>
    <xf numFmtId="0" fontId="16" fillId="0" borderId="0" xfId="0" applyFont="1" applyAlignment="1">
      <alignment horizontal="left" vertical="top" wrapText="1"/>
    </xf>
    <xf numFmtId="0" fontId="17" fillId="0" borderId="0" xfId="0" applyFont="1" applyAlignment="1">
      <alignment horizontal="left"/>
    </xf>
    <xf numFmtId="0" fontId="29" fillId="16" borderId="10" xfId="0" applyFont="1" applyFill="1" applyBorder="1" applyAlignment="1">
      <alignment horizontal="left"/>
    </xf>
    <xf numFmtId="0" fontId="30" fillId="16" borderId="1" xfId="0" applyFont="1" applyFill="1" applyBorder="1"/>
    <xf numFmtId="0" fontId="22" fillId="0" borderId="2" xfId="0" applyFont="1" applyBorder="1"/>
    <xf numFmtId="0" fontId="22" fillId="0" borderId="3" xfId="0" applyFont="1" applyBorder="1"/>
    <xf numFmtId="0" fontId="6" fillId="0" borderId="13" xfId="0" applyFont="1" applyBorder="1" applyAlignment="1">
      <alignment horizontal="center" vertical="center"/>
    </xf>
    <xf numFmtId="0" fontId="22" fillId="0" borderId="13" xfId="0" applyFont="1" applyBorder="1"/>
    <xf numFmtId="0" fontId="27" fillId="16" borderId="10" xfId="0" applyFont="1" applyFill="1" applyBorder="1" applyAlignment="1">
      <alignment horizontal="left"/>
    </xf>
    <xf numFmtId="0" fontId="31" fillId="16" borderId="7" xfId="0" applyFont="1" applyFill="1" applyBorder="1" applyAlignment="1">
      <alignment horizontal="left"/>
    </xf>
    <xf numFmtId="0" fontId="32" fillId="16" borderId="10" xfId="0" applyFont="1" applyFill="1" applyBorder="1" applyAlignment="1">
      <alignment horizontal="left"/>
    </xf>
    <xf numFmtId="0" fontId="28" fillId="16" borderId="1" xfId="0" applyFont="1" applyFill="1" applyBorder="1"/>
    <xf numFmtId="49" fontId="10" fillId="0" borderId="0" xfId="0" applyNumberFormat="1" applyFont="1" applyAlignment="1">
      <alignment horizontal="center" wrapText="1"/>
    </xf>
    <xf numFmtId="49" fontId="0" fillId="0" borderId="0" xfId="0" applyNumberFormat="1" applyAlignment="1">
      <alignment wrapText="1"/>
    </xf>
    <xf numFmtId="49" fontId="11" fillId="0" borderId="0" xfId="0" applyNumberFormat="1" applyFont="1" applyAlignment="1">
      <alignment wrapText="1"/>
    </xf>
    <xf numFmtId="49" fontId="14" fillId="0" borderId="0" xfId="0" applyNumberFormat="1" applyFont="1" applyAlignment="1">
      <alignment wrapText="1"/>
    </xf>
    <xf numFmtId="49" fontId="16" fillId="0" borderId="0" xfId="0" applyNumberFormat="1" applyFont="1" applyAlignment="1">
      <alignment horizontal="left" vertical="top" wrapText="1"/>
    </xf>
    <xf numFmtId="49" fontId="33" fillId="0" borderId="0" xfId="0" applyNumberFormat="1" applyFont="1" applyAlignment="1">
      <alignment horizontal="left" wrapText="1"/>
    </xf>
    <xf numFmtId="49" fontId="30" fillId="0" borderId="0" xfId="0" applyNumberFormat="1" applyFont="1" applyAlignment="1">
      <alignment horizontal="left" vertical="center" wrapText="1"/>
    </xf>
    <xf numFmtId="49" fontId="24" fillId="16" borderId="7" xfId="0" applyNumberFormat="1" applyFont="1" applyFill="1" applyBorder="1" applyAlignment="1">
      <alignment horizontal="left" wrapText="1"/>
    </xf>
    <xf numFmtId="49" fontId="22" fillId="0" borderId="8" xfId="0" applyNumberFormat="1" applyFont="1" applyBorder="1" applyAlignment="1">
      <alignment wrapText="1"/>
    </xf>
    <xf numFmtId="49" fontId="22" fillId="0" borderId="9" xfId="0" applyNumberFormat="1" applyFont="1" applyBorder="1" applyAlignment="1">
      <alignment wrapText="1"/>
    </xf>
    <xf numFmtId="49" fontId="30" fillId="16" borderId="7" xfId="0" applyNumberFormat="1" applyFont="1" applyFill="1" applyBorder="1" applyAlignment="1">
      <alignment horizontal="center" wrapText="1"/>
    </xf>
    <xf numFmtId="49" fontId="30" fillId="16" borderId="10" xfId="0" applyNumberFormat="1" applyFont="1" applyFill="1" applyBorder="1" applyAlignment="1">
      <alignment horizontal="center" wrapText="1"/>
    </xf>
    <xf numFmtId="49" fontId="22" fillId="0" borderId="11" xfId="0" applyNumberFormat="1" applyFont="1" applyBorder="1" applyAlignment="1">
      <alignment wrapText="1"/>
    </xf>
    <xf numFmtId="49" fontId="22" fillId="0" borderId="12" xfId="0" applyNumberFormat="1" applyFont="1" applyBorder="1" applyAlignment="1">
      <alignment wrapText="1"/>
    </xf>
    <xf numFmtId="49" fontId="16" fillId="15" borderId="2" xfId="0" applyNumberFormat="1" applyFont="1" applyFill="1" applyBorder="1" applyAlignment="1">
      <alignment horizontal="left" vertical="center" wrapText="1"/>
    </xf>
    <xf numFmtId="49" fontId="28" fillId="16" borderId="10" xfId="0" applyNumberFormat="1" applyFont="1" applyFill="1" applyBorder="1" applyAlignment="1">
      <alignment horizontal="left" wrapText="1"/>
    </xf>
    <xf numFmtId="49" fontId="30" fillId="16" borderId="1" xfId="0" applyNumberFormat="1" applyFont="1" applyFill="1" applyBorder="1" applyAlignment="1">
      <alignment horizontal="center" wrapText="1"/>
    </xf>
    <xf numFmtId="49" fontId="22" fillId="0" borderId="2" xfId="0" applyNumberFormat="1" applyFont="1" applyBorder="1" applyAlignment="1">
      <alignment wrapText="1"/>
    </xf>
    <xf numFmtId="49" fontId="22" fillId="0" borderId="3" xfId="0" applyNumberFormat="1" applyFont="1" applyBorder="1" applyAlignment="1">
      <alignment wrapText="1"/>
    </xf>
    <xf numFmtId="49" fontId="6" fillId="0" borderId="5" xfId="0" applyNumberFormat="1" applyFont="1" applyBorder="1" applyAlignment="1">
      <alignment horizontal="center" vertical="center" wrapText="1"/>
    </xf>
    <xf numFmtId="49" fontId="22" fillId="0" borderId="6" xfId="0" applyNumberFormat="1" applyFont="1" applyBorder="1" applyAlignment="1">
      <alignment wrapText="1"/>
    </xf>
    <xf numFmtId="49" fontId="28" fillId="16" borderId="1" xfId="0" applyNumberFormat="1" applyFont="1" applyFill="1" applyBorder="1" applyAlignment="1">
      <alignment wrapText="1"/>
    </xf>
    <xf numFmtId="49" fontId="31" fillId="16" borderId="7" xfId="0" applyNumberFormat="1" applyFont="1" applyFill="1" applyBorder="1" applyAlignment="1">
      <alignment horizontal="left" wrapText="1"/>
    </xf>
    <xf numFmtId="49" fontId="32" fillId="16" borderId="10" xfId="0" applyNumberFormat="1" applyFont="1" applyFill="1" applyBorder="1" applyAlignment="1">
      <alignment horizontal="left" wrapText="1"/>
    </xf>
    <xf numFmtId="49" fontId="10" fillId="0" borderId="0" xfId="0" applyNumberFormat="1" applyFont="1" applyAlignment="1">
      <alignment horizontal="center"/>
    </xf>
    <xf numFmtId="49" fontId="0" fillId="0" borderId="0" xfId="0" applyNumberFormat="1"/>
    <xf numFmtId="49" fontId="11" fillId="0" borderId="0" xfId="0" applyNumberFormat="1" applyFont="1"/>
    <xf numFmtId="49" fontId="14" fillId="0" borderId="0" xfId="0" applyNumberFormat="1" applyFont="1"/>
    <xf numFmtId="49" fontId="17" fillId="0" borderId="0" xfId="0" applyNumberFormat="1" applyFont="1" applyAlignment="1">
      <alignment horizontal="left"/>
    </xf>
    <xf numFmtId="49" fontId="30" fillId="0" borderId="0" xfId="0" applyNumberFormat="1" applyFont="1" applyAlignment="1">
      <alignment horizontal="left" vertical="center"/>
    </xf>
    <xf numFmtId="49" fontId="31" fillId="16" borderId="7" xfId="0" applyNumberFormat="1" applyFont="1" applyFill="1" applyBorder="1" applyAlignment="1">
      <alignment horizontal="left"/>
    </xf>
    <xf numFmtId="49" fontId="22" fillId="0" borderId="8" xfId="0" applyNumberFormat="1" applyFont="1" applyBorder="1"/>
    <xf numFmtId="49" fontId="22" fillId="0" borderId="9" xfId="0" applyNumberFormat="1" applyFont="1" applyBorder="1"/>
    <xf numFmtId="49" fontId="30" fillId="16" borderId="7" xfId="0" applyNumberFormat="1" applyFont="1" applyFill="1" applyBorder="1" applyAlignment="1">
      <alignment horizontal="center"/>
    </xf>
    <xf numFmtId="49" fontId="32" fillId="16" borderId="10" xfId="0" applyNumberFormat="1" applyFont="1" applyFill="1" applyBorder="1" applyAlignment="1">
      <alignment horizontal="left"/>
    </xf>
    <xf numFmtId="49" fontId="22" fillId="0" borderId="11" xfId="0" applyNumberFormat="1" applyFont="1" applyBorder="1"/>
    <xf numFmtId="49" fontId="22" fillId="0" borderId="12" xfId="0" applyNumberFormat="1" applyFont="1" applyBorder="1"/>
    <xf numFmtId="49" fontId="30" fillId="16" borderId="10" xfId="0" applyNumberFormat="1" applyFont="1" applyFill="1" applyBorder="1" applyAlignment="1">
      <alignment horizontal="center"/>
    </xf>
    <xf numFmtId="49" fontId="16" fillId="15" borderId="2" xfId="0" applyNumberFormat="1" applyFont="1" applyFill="1" applyBorder="1" applyAlignment="1">
      <alignment horizontal="left" vertical="center"/>
    </xf>
    <xf numFmtId="49" fontId="30" fillId="16" borderId="1" xfId="0" applyNumberFormat="1" applyFont="1" applyFill="1" applyBorder="1" applyAlignment="1">
      <alignment horizontal="center"/>
    </xf>
    <xf numFmtId="49" fontId="22" fillId="0" borderId="2" xfId="0" applyNumberFormat="1" applyFont="1" applyBorder="1"/>
    <xf numFmtId="49" fontId="22" fillId="0" borderId="3" xfId="0" applyNumberFormat="1" applyFont="1" applyBorder="1"/>
    <xf numFmtId="49" fontId="6" fillId="0" borderId="5" xfId="0" applyNumberFormat="1" applyFont="1" applyBorder="1" applyAlignment="1">
      <alignment horizontal="center" vertical="center"/>
    </xf>
    <xf numFmtId="49" fontId="22" fillId="0" borderId="6" xfId="0" applyNumberFormat="1" applyFont="1" applyBorder="1"/>
    <xf numFmtId="0" fontId="34" fillId="0" borderId="0" xfId="0" applyFont="1"/>
    <xf numFmtId="0" fontId="20" fillId="0" borderId="0" xfId="0" applyFont="1" applyAlignment="1">
      <alignment horizontal="left"/>
    </xf>
    <xf numFmtId="0" fontId="30" fillId="0" borderId="0" xfId="0" applyFont="1" applyAlignment="1">
      <alignment horizontal="left" vertical="center"/>
    </xf>
    <xf numFmtId="0" fontId="35" fillId="16" borderId="10" xfId="0" applyFont="1" applyFill="1" applyBorder="1" applyAlignment="1">
      <alignment horizontal="left"/>
    </xf>
    <xf numFmtId="0" fontId="32" fillId="16" borderId="1" xfId="0" applyFont="1" applyFill="1" applyBorder="1" applyAlignment="1">
      <alignment horizontal="left"/>
    </xf>
    <xf numFmtId="0" fontId="16" fillId="15" borderId="2" xfId="0" applyFont="1" applyFill="1" applyBorder="1" applyAlignment="1">
      <alignment horizontal="left" vertical="center"/>
    </xf>
    <xf numFmtId="0" fontId="6" fillId="0" borderId="5" xfId="0" applyFont="1" applyBorder="1" applyAlignment="1">
      <alignment horizontal="center" vertical="center"/>
    </xf>
    <xf numFmtId="0" fontId="22" fillId="0" borderId="6" xfId="0" applyFont="1" applyBorder="1"/>
    <xf numFmtId="0" fontId="32" fillId="16" borderId="11" xfId="0" applyFont="1" applyFill="1" applyBorder="1" applyAlignment="1">
      <alignment horizontal="left"/>
    </xf>
    <xf numFmtId="0" fontId="32" fillId="16" borderId="12" xfId="0" applyFont="1" applyFill="1" applyBorder="1" applyAlignment="1">
      <alignment horizontal="left"/>
    </xf>
    <xf numFmtId="0" fontId="36" fillId="16" borderId="7" xfId="0" applyFont="1" applyFill="1" applyBorder="1" applyAlignment="1">
      <alignment horizontal="left"/>
    </xf>
    <xf numFmtId="0" fontId="37" fillId="16" borderId="10" xfId="0" applyFont="1" applyFill="1" applyBorder="1" applyAlignment="1">
      <alignment horizontal="left"/>
    </xf>
    <xf numFmtId="0" fontId="38" fillId="16" borderId="10" xfId="0" applyFont="1" applyFill="1" applyBorder="1" applyAlignment="1">
      <alignment horizontal="left"/>
    </xf>
    <xf numFmtId="0" fontId="39" fillId="0" borderId="0" xfId="0" applyFont="1"/>
    <xf numFmtId="0" fontId="40" fillId="0" borderId="0" xfId="0" applyFont="1" applyAlignment="1">
      <alignment horizontal="left"/>
    </xf>
    <xf numFmtId="0" fontId="41" fillId="16" borderId="7" xfId="0" applyFont="1" applyFill="1" applyBorder="1" applyAlignment="1">
      <alignment horizontal="left"/>
    </xf>
    <xf numFmtId="0" fontId="30" fillId="16" borderId="1" xfId="0" applyFont="1" applyFill="1" applyBorder="1" applyAlignment="1">
      <alignment horizontal="center"/>
    </xf>
    <xf numFmtId="0" fontId="30" fillId="16" borderId="10" xfId="0" applyFont="1" applyFill="1" applyBorder="1" applyAlignment="1">
      <alignment horizontal="center"/>
    </xf>
    <xf numFmtId="0" fontId="42" fillId="16" borderId="10" xfId="0" applyFont="1" applyFill="1" applyBorder="1" applyAlignment="1">
      <alignment horizontal="left"/>
    </xf>
    <xf numFmtId="0" fontId="43" fillId="2" borderId="10" xfId="0" applyFont="1" applyFill="1" applyBorder="1" applyAlignment="1">
      <alignment horizontal="left"/>
    </xf>
    <xf numFmtId="0" fontId="30" fillId="16" borderId="7" xfId="0" applyFont="1" applyFill="1" applyBorder="1" applyAlignment="1">
      <alignment horizontal="center"/>
    </xf>
    <xf numFmtId="0" fontId="28" fillId="16" borderId="10" xfId="0" applyFont="1" applyFill="1" applyBorder="1"/>
    <xf numFmtId="0" fontId="33" fillId="0" borderId="0" xfId="0" applyFont="1" applyAlignment="1">
      <alignment horizontal="left"/>
    </xf>
    <xf numFmtId="0" fontId="41" fillId="16" borderId="7" xfId="0" applyFont="1" applyFill="1" applyBorder="1" applyAlignment="1">
      <alignment horizontal="left" vertical="center"/>
    </xf>
    <xf numFmtId="0" fontId="22" fillId="0" borderId="8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32" fillId="16" borderId="10" xfId="0" applyFont="1" applyFill="1" applyBorder="1" applyAlignment="1">
      <alignment horizontal="left" vertical="center"/>
    </xf>
    <xf numFmtId="0" fontId="32" fillId="16" borderId="11" xfId="0" applyFont="1" applyFill="1" applyBorder="1" applyAlignment="1">
      <alignment horizontal="left" vertical="center"/>
    </xf>
    <xf numFmtId="0" fontId="32" fillId="16" borderId="12" xfId="0" applyFont="1" applyFill="1" applyBorder="1" applyAlignment="1">
      <alignment horizontal="left" vertical="center"/>
    </xf>
    <xf numFmtId="0" fontId="28" fillId="2" borderId="10" xfId="0" applyFont="1" applyFill="1" applyBorder="1" applyAlignment="1">
      <alignment horizontal="left" vertical="center"/>
    </xf>
    <xf numFmtId="0" fontId="28" fillId="2" borderId="11" xfId="0" applyFont="1" applyFill="1" applyBorder="1" applyAlignment="1">
      <alignment horizontal="left" vertical="center"/>
    </xf>
    <xf numFmtId="0" fontId="28" fillId="2" borderId="12" xfId="0" applyFont="1" applyFill="1" applyBorder="1" applyAlignment="1">
      <alignment horizontal="left" vertical="center"/>
    </xf>
    <xf numFmtId="0" fontId="30" fillId="16" borderId="1" xfId="0" applyFont="1" applyFill="1" applyBorder="1" applyAlignment="1">
      <alignment horizontal="center" vertical="center"/>
    </xf>
    <xf numFmtId="0" fontId="30" fillId="16" borderId="2" xfId="0" applyFont="1" applyFill="1" applyBorder="1" applyAlignment="1">
      <alignment horizontal="center" vertical="center"/>
    </xf>
    <xf numFmtId="0" fontId="30" fillId="16" borderId="3" xfId="0" applyFont="1" applyFill="1" applyBorder="1" applyAlignment="1">
      <alignment horizontal="center" vertical="center"/>
    </xf>
    <xf numFmtId="0" fontId="27" fillId="16" borderId="10" xfId="0" applyFont="1" applyFill="1" applyBorder="1" applyAlignment="1">
      <alignment horizontal="left"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8" fillId="2" borderId="1" xfId="0" applyFont="1" applyFill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42" fillId="16" borderId="10" xfId="0" applyFont="1" applyFill="1" applyBorder="1" applyAlignment="1">
      <alignment horizontal="left" vertical="center"/>
    </xf>
    <xf numFmtId="0" fontId="25" fillId="16" borderId="7" xfId="0" applyFont="1" applyFill="1" applyBorder="1" applyAlignment="1">
      <alignment horizontal="left" vertical="center"/>
    </xf>
    <xf numFmtId="0" fontId="24" fillId="16" borderId="7" xfId="0" applyFont="1" applyFill="1" applyBorder="1" applyAlignment="1">
      <alignment horizontal="left" vertical="center"/>
    </xf>
    <xf numFmtId="0" fontId="28" fillId="16" borderId="10" xfId="0" applyFont="1" applyFill="1" applyBorder="1" applyAlignment="1">
      <alignment horizontal="left" vertical="center"/>
    </xf>
    <xf numFmtId="0" fontId="30" fillId="16" borderId="10" xfId="0" applyFont="1" applyFill="1" applyBorder="1" applyAlignment="1">
      <alignment horizontal="center" vertical="center"/>
    </xf>
    <xf numFmtId="0" fontId="31" fillId="16" borderId="7" xfId="0" applyFont="1" applyFill="1" applyBorder="1" applyAlignment="1">
      <alignment horizontal="left" vertical="center"/>
    </xf>
    <xf numFmtId="0" fontId="31" fillId="16" borderId="8" xfId="0" applyFont="1" applyFill="1" applyBorder="1" applyAlignment="1">
      <alignment horizontal="left" vertical="center"/>
    </xf>
    <xf numFmtId="0" fontId="31" fillId="16" borderId="9" xfId="0" applyFont="1" applyFill="1" applyBorder="1" applyAlignment="1">
      <alignment horizontal="left" vertical="center"/>
    </xf>
    <xf numFmtId="0" fontId="71" fillId="0" borderId="0" xfId="0" applyFont="1"/>
    <xf numFmtId="0" fontId="5" fillId="0" borderId="0" xfId="0" applyFont="1"/>
    <xf numFmtId="0" fontId="30" fillId="16" borderId="1" xfId="0" applyFont="1" applyFill="1" applyBorder="1" applyAlignment="1">
      <alignment vertical="center"/>
    </xf>
    <xf numFmtId="0" fontId="32" fillId="16" borderId="1" xfId="0" applyFont="1" applyFill="1" applyBorder="1" applyAlignment="1">
      <alignment horizontal="left" vertical="center"/>
    </xf>
    <xf numFmtId="0" fontId="77" fillId="19" borderId="7" xfId="0" applyFont="1" applyFill="1" applyBorder="1" applyAlignment="1">
      <alignment wrapText="1"/>
    </xf>
    <xf numFmtId="0" fontId="77" fillId="19" borderId="8" xfId="0" applyFont="1" applyFill="1" applyBorder="1" applyAlignment="1">
      <alignment wrapText="1"/>
    </xf>
    <xf numFmtId="0" fontId="77" fillId="19" borderId="9" xfId="0" applyFont="1" applyFill="1" applyBorder="1" applyAlignment="1">
      <alignment wrapText="1"/>
    </xf>
    <xf numFmtId="0" fontId="78" fillId="19" borderId="10" xfId="0" applyFont="1" applyFill="1" applyBorder="1" applyAlignment="1">
      <alignment wrapText="1"/>
    </xf>
    <xf numFmtId="0" fontId="78" fillId="19" borderId="11" xfId="0" applyFont="1" applyFill="1" applyBorder="1" applyAlignment="1">
      <alignment wrapText="1"/>
    </xf>
    <xf numFmtId="0" fontId="78" fillId="19" borderId="12" xfId="0" applyFont="1" applyFill="1" applyBorder="1" applyAlignment="1">
      <alignment wrapText="1"/>
    </xf>
    <xf numFmtId="0" fontId="75" fillId="19" borderId="7" xfId="0" applyFont="1" applyFill="1" applyBorder="1" applyAlignment="1">
      <alignment wrapText="1"/>
    </xf>
    <xf numFmtId="0" fontId="75" fillId="19" borderId="8" xfId="0" applyFont="1" applyFill="1" applyBorder="1" applyAlignment="1">
      <alignment wrapText="1"/>
    </xf>
    <xf numFmtId="0" fontId="75" fillId="19" borderId="9" xfId="0" applyFont="1" applyFill="1" applyBorder="1" applyAlignment="1">
      <alignment wrapText="1"/>
    </xf>
    <xf numFmtId="0" fontId="79" fillId="19" borderId="7" xfId="0" applyFont="1" applyFill="1" applyBorder="1" applyAlignment="1">
      <alignment wrapText="1"/>
    </xf>
    <xf numFmtId="0" fontId="79" fillId="19" borderId="8" xfId="0" applyFont="1" applyFill="1" applyBorder="1" applyAlignment="1">
      <alignment wrapText="1"/>
    </xf>
    <xf numFmtId="0" fontId="79" fillId="19" borderId="9" xfId="0" applyFont="1" applyFill="1" applyBorder="1" applyAlignment="1">
      <alignment wrapText="1"/>
    </xf>
    <xf numFmtId="0" fontId="76" fillId="19" borderId="10" xfId="0" applyFont="1" applyFill="1" applyBorder="1" applyAlignment="1">
      <alignment wrapText="1"/>
    </xf>
    <xf numFmtId="0" fontId="76" fillId="19" borderId="11" xfId="0" applyFont="1" applyFill="1" applyBorder="1" applyAlignment="1">
      <alignment wrapText="1"/>
    </xf>
    <xf numFmtId="0" fontId="76" fillId="19" borderId="12" xfId="0" applyFont="1" applyFill="1" applyBorder="1" applyAlignment="1">
      <alignment wrapText="1"/>
    </xf>
    <xf numFmtId="0" fontId="80" fillId="19" borderId="10" xfId="0" applyFont="1" applyFill="1" applyBorder="1" applyAlignment="1">
      <alignment wrapText="1"/>
    </xf>
    <xf numFmtId="0" fontId="80" fillId="19" borderId="11" xfId="0" applyFont="1" applyFill="1" applyBorder="1" applyAlignment="1">
      <alignment wrapText="1"/>
    </xf>
    <xf numFmtId="0" fontId="80" fillId="19" borderId="12" xfId="0" applyFont="1" applyFill="1" applyBorder="1" applyAlignment="1">
      <alignment wrapText="1"/>
    </xf>
    <xf numFmtId="0" fontId="44" fillId="2" borderId="10" xfId="0" applyFont="1" applyFill="1" applyBorder="1" applyAlignment="1">
      <alignment horizontal="left"/>
    </xf>
    <xf numFmtId="0" fontId="46" fillId="16" borderId="1" xfId="0" applyFont="1" applyFill="1" applyBorder="1" applyAlignment="1">
      <alignment horizontal="left"/>
    </xf>
    <xf numFmtId="0" fontId="45" fillId="2" borderId="10" xfId="0" applyFont="1" applyFill="1" applyBorder="1" applyAlignment="1">
      <alignment horizontal="left"/>
    </xf>
    <xf numFmtId="0" fontId="47" fillId="16" borderId="10" xfId="0" applyFont="1" applyFill="1" applyBorder="1" applyAlignment="1">
      <alignment horizontal="left"/>
    </xf>
    <xf numFmtId="0" fontId="41" fillId="16" borderId="10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44" fillId="2" borderId="1" xfId="0" applyFont="1" applyFill="1" applyBorder="1" applyAlignment="1">
      <alignment horizontal="left" vertical="center"/>
    </xf>
    <xf numFmtId="0" fontId="45" fillId="2" borderId="1" xfId="0" applyFont="1" applyFill="1" applyBorder="1" applyAlignment="1">
      <alignment horizontal="left" vertical="center"/>
    </xf>
    <xf numFmtId="0" fontId="43" fillId="2" borderId="1" xfId="0" applyFont="1" applyFill="1" applyBorder="1" applyAlignment="1">
      <alignment horizontal="left" vertical="center"/>
    </xf>
    <xf numFmtId="0" fontId="35" fillId="16" borderId="1" xfId="0" applyFont="1" applyFill="1" applyBorder="1" applyAlignment="1">
      <alignment vertical="center"/>
    </xf>
    <xf numFmtId="0" fontId="44" fillId="16" borderId="1" xfId="0" applyFont="1" applyFill="1" applyBorder="1" applyAlignment="1">
      <alignment horizontal="left"/>
    </xf>
    <xf numFmtId="0" fontId="25" fillId="16" borderId="10" xfId="0" applyFont="1" applyFill="1" applyBorder="1" applyAlignment="1">
      <alignment horizontal="left"/>
    </xf>
    <xf numFmtId="0" fontId="48" fillId="16" borderId="1" xfId="0" applyFont="1" applyFill="1" applyBorder="1" applyAlignment="1">
      <alignment horizontal="left"/>
    </xf>
    <xf numFmtId="0" fontId="31" fillId="16" borderId="10" xfId="0" applyFont="1" applyFill="1" applyBorder="1" applyAlignment="1">
      <alignment horizontal="left"/>
    </xf>
    <xf numFmtId="0" fontId="49" fillId="0" borderId="0" xfId="0" applyFont="1"/>
    <xf numFmtId="0" fontId="28" fillId="16" borderId="11" xfId="0" applyFont="1" applyFill="1" applyBorder="1" applyAlignment="1">
      <alignment horizontal="left"/>
    </xf>
    <xf numFmtId="0" fontId="44" fillId="2" borderId="10" xfId="0" applyFont="1" applyFill="1" applyBorder="1" applyAlignment="1">
      <alignment horizontal="left" vertical="center"/>
    </xf>
    <xf numFmtId="0" fontId="45" fillId="2" borderId="10" xfId="0" applyFont="1" applyFill="1" applyBorder="1" applyAlignment="1">
      <alignment horizontal="left" vertical="center"/>
    </xf>
    <xf numFmtId="0" fontId="35" fillId="16" borderId="1" xfId="0" applyFont="1" applyFill="1" applyBorder="1" applyAlignment="1">
      <alignment horizontal="left"/>
    </xf>
    <xf numFmtId="0" fontId="30" fillId="0" borderId="0" xfId="0" applyFont="1" applyAlignment="1">
      <alignment horizontal="left"/>
    </xf>
    <xf numFmtId="0" fontId="51" fillId="16" borderId="7" xfId="0" applyFont="1" applyFill="1" applyBorder="1" applyAlignment="1">
      <alignment horizontal="left"/>
    </xf>
    <xf numFmtId="0" fontId="52" fillId="16" borderId="10" xfId="0" applyFont="1" applyFill="1" applyBorder="1" applyAlignment="1">
      <alignment horizontal="left"/>
    </xf>
    <xf numFmtId="0" fontId="11" fillId="0" borderId="0" xfId="0" applyFont="1" applyAlignment="1">
      <alignment horizontal="left" vertical="center"/>
    </xf>
    <xf numFmtId="0" fontId="85" fillId="24" borderId="0" xfId="0" applyFont="1" applyFill="1" applyAlignment="1">
      <alignment horizontal="left" vertical="center" wrapText="1" indent="1"/>
    </xf>
    <xf numFmtId="0" fontId="82" fillId="21" borderId="0" xfId="0" applyFont="1" applyFill="1" applyAlignment="1">
      <alignment horizontal="center" vertical="center"/>
    </xf>
    <xf numFmtId="0" fontId="81" fillId="22" borderId="0" xfId="0" applyFont="1" applyFill="1" applyAlignment="1">
      <alignment horizontal="center" vertical="center"/>
    </xf>
    <xf numFmtId="0" fontId="83" fillId="23" borderId="0" xfId="0" applyFont="1" applyFill="1" applyAlignment="1">
      <alignment horizontal="center" vertical="center"/>
    </xf>
    <xf numFmtId="0" fontId="84" fillId="23" borderId="0" xfId="0" applyFont="1" applyFill="1" applyAlignment="1">
      <alignment horizontal="left" vertical="center" indent="3"/>
    </xf>
    <xf numFmtId="0" fontId="84" fillId="23" borderId="0" xfId="0" applyFont="1" applyFill="1" applyAlignment="1">
      <alignment horizontal="left" vertical="center" indent="7"/>
    </xf>
  </cellXfs>
  <cellStyles count="2">
    <cellStyle name="Currency" xfId="1" builtinId="4"/>
    <cellStyle name="Normal" xfId="0" builtinId="0"/>
  </cellStyles>
  <dxfs count="6"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lor theme="0"/>
      </font>
      <numFmt numFmtId="0" formatCode="General"/>
      <fill>
        <patternFill>
          <bgColor rgb="FF9A00FF"/>
        </patternFill>
      </fill>
    </dxf>
    <dxf>
      <font>
        <color rgb="FFFFFFFF"/>
      </font>
      <fill>
        <patternFill patternType="solid">
          <fgColor rgb="FF9900FF"/>
          <bgColor rgb="FF9A37FF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00B0F0"/>
          <bgColor rgb="FF00B0F0"/>
        </patternFill>
      </fill>
    </dxf>
  </dxfs>
  <tableStyles count="0" defaultTableStyle="TableStyleMedium2" defaultPivotStyle="PivotStyleLight16"/>
  <colors>
    <mruColors>
      <color rgb="FF9A00FF"/>
      <color rgb="FFFCFC04"/>
      <color rgb="FF9A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201420</xdr:colOff>
      <xdr:row>0</xdr:row>
      <xdr:rowOff>220517</xdr:rowOff>
    </xdr:from>
    <xdr:to>
      <xdr:col>6</xdr:col>
      <xdr:colOff>824875</xdr:colOff>
      <xdr:row>0</xdr:row>
      <xdr:rowOff>659244</xdr:rowOff>
    </xdr:to>
    <xdr:sp macro="[0]!ANIMAX1" textlink="">
      <xdr:nvSpPr>
        <xdr:cNvPr id="2" name="Rounded Rectangle 1">
          <a:extLst>
            <a:ext uri="{FF2B5EF4-FFF2-40B4-BE49-F238E27FC236}">
              <a16:creationId xmlns:a16="http://schemas.microsoft.com/office/drawing/2014/main" id="{B15C1A52-E499-BDF5-7B56-3BF7BB15D891}"/>
            </a:ext>
          </a:extLst>
        </xdr:cNvPr>
        <xdr:cNvSpPr/>
      </xdr:nvSpPr>
      <xdr:spPr>
        <a:xfrm>
          <a:off x="8535796" y="220517"/>
          <a:ext cx="623455" cy="438727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A1</a:t>
          </a:r>
        </a:p>
      </xdr:txBody>
    </xdr:sp>
    <xdr:clientData/>
  </xdr:twoCellAnchor>
  <xdr:twoCellAnchor editAs="absolute">
    <xdr:from>
      <xdr:col>5</xdr:col>
      <xdr:colOff>83130</xdr:colOff>
      <xdr:row>0</xdr:row>
      <xdr:rowOff>220517</xdr:rowOff>
    </xdr:from>
    <xdr:to>
      <xdr:col>5</xdr:col>
      <xdr:colOff>706585</xdr:colOff>
      <xdr:row>0</xdr:row>
      <xdr:rowOff>659244</xdr:rowOff>
    </xdr:to>
    <xdr:sp macro="[0]!ANIMAX2" textlink="">
      <xdr:nvSpPr>
        <xdr:cNvPr id="3" name="Rounded Rectangle 2">
          <a:extLst>
            <a:ext uri="{FF2B5EF4-FFF2-40B4-BE49-F238E27FC236}">
              <a16:creationId xmlns:a16="http://schemas.microsoft.com/office/drawing/2014/main" id="{12EC0C9E-97D8-A941-B443-E8944B21CAFD}"/>
            </a:ext>
          </a:extLst>
        </xdr:cNvPr>
        <xdr:cNvSpPr/>
      </xdr:nvSpPr>
      <xdr:spPr>
        <a:xfrm>
          <a:off x="7607880" y="220517"/>
          <a:ext cx="623455" cy="438727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A2</a:t>
          </a:r>
        </a:p>
      </xdr:txBody>
    </xdr:sp>
    <xdr:clientData/>
  </xdr:twoCellAnchor>
  <xdr:twoCellAnchor editAs="absolute">
    <xdr:from>
      <xdr:col>7</xdr:col>
      <xdr:colOff>292498</xdr:colOff>
      <xdr:row>0</xdr:row>
      <xdr:rowOff>220517</xdr:rowOff>
    </xdr:from>
    <xdr:to>
      <xdr:col>7</xdr:col>
      <xdr:colOff>915953</xdr:colOff>
      <xdr:row>0</xdr:row>
      <xdr:rowOff>659244</xdr:rowOff>
    </xdr:to>
    <xdr:sp macro="[0]!GEM_2" textlink="">
      <xdr:nvSpPr>
        <xdr:cNvPr id="4" name="Rounded Rectangle 3">
          <a:extLst>
            <a:ext uri="{FF2B5EF4-FFF2-40B4-BE49-F238E27FC236}">
              <a16:creationId xmlns:a16="http://schemas.microsoft.com/office/drawing/2014/main" id="{FE7F9AD5-FA63-6544-BC97-6A5731530CA6}"/>
            </a:ext>
          </a:extLst>
        </xdr:cNvPr>
        <xdr:cNvSpPr/>
      </xdr:nvSpPr>
      <xdr:spPr>
        <a:xfrm>
          <a:off x="9463712" y="220517"/>
          <a:ext cx="623455" cy="438727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G2</a:t>
          </a:r>
        </a:p>
      </xdr:txBody>
    </xdr:sp>
    <xdr:clientData/>
  </xdr:twoCellAnchor>
  <xdr:twoCellAnchor editAs="absolute">
    <xdr:from>
      <xdr:col>8</xdr:col>
      <xdr:colOff>172664</xdr:colOff>
      <xdr:row>0</xdr:row>
      <xdr:rowOff>220517</xdr:rowOff>
    </xdr:from>
    <xdr:to>
      <xdr:col>8</xdr:col>
      <xdr:colOff>796119</xdr:colOff>
      <xdr:row>0</xdr:row>
      <xdr:rowOff>659244</xdr:rowOff>
    </xdr:to>
    <xdr:sp macro="[0]!GEM_1" textlink="">
      <xdr:nvSpPr>
        <xdr:cNvPr id="5" name="Rounded Rectangle 4">
          <a:extLst>
            <a:ext uri="{FF2B5EF4-FFF2-40B4-BE49-F238E27FC236}">
              <a16:creationId xmlns:a16="http://schemas.microsoft.com/office/drawing/2014/main" id="{83072B18-4E82-AC4A-9B1A-5B15B2AD997B}"/>
            </a:ext>
          </a:extLst>
        </xdr:cNvPr>
        <xdr:cNvSpPr/>
      </xdr:nvSpPr>
      <xdr:spPr>
        <a:xfrm>
          <a:off x="10391628" y="220517"/>
          <a:ext cx="623455" cy="438727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G1</a:t>
          </a:r>
        </a:p>
      </xdr:txBody>
    </xdr:sp>
    <xdr:clientData/>
  </xdr:twoCellAnchor>
  <xdr:twoCellAnchor editAs="absolute">
    <xdr:from>
      <xdr:col>9</xdr:col>
      <xdr:colOff>120865</xdr:colOff>
      <xdr:row>0</xdr:row>
      <xdr:rowOff>220517</xdr:rowOff>
    </xdr:from>
    <xdr:to>
      <xdr:col>9</xdr:col>
      <xdr:colOff>744320</xdr:colOff>
      <xdr:row>0</xdr:row>
      <xdr:rowOff>659244</xdr:rowOff>
    </xdr:to>
    <xdr:sp macro="[0]!ONE_2" textlink="">
      <xdr:nvSpPr>
        <xdr:cNvPr id="6" name="Rounded Rectangle 5">
          <a:extLst>
            <a:ext uri="{FF2B5EF4-FFF2-40B4-BE49-F238E27FC236}">
              <a16:creationId xmlns:a16="http://schemas.microsoft.com/office/drawing/2014/main" id="{0C822302-3F88-0E42-94B2-1FEB84DB9E1B}"/>
            </a:ext>
          </a:extLst>
        </xdr:cNvPr>
        <xdr:cNvSpPr/>
      </xdr:nvSpPr>
      <xdr:spPr>
        <a:xfrm>
          <a:off x="11319544" y="220517"/>
          <a:ext cx="623455" cy="438727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O2</a:t>
          </a:r>
        </a:p>
      </xdr:txBody>
    </xdr:sp>
    <xdr:clientData/>
  </xdr:twoCellAnchor>
  <xdr:twoCellAnchor editAs="absolute">
    <xdr:from>
      <xdr:col>10</xdr:col>
      <xdr:colOff>184727</xdr:colOff>
      <xdr:row>0</xdr:row>
      <xdr:rowOff>220517</xdr:rowOff>
    </xdr:from>
    <xdr:to>
      <xdr:col>10</xdr:col>
      <xdr:colOff>808182</xdr:colOff>
      <xdr:row>0</xdr:row>
      <xdr:rowOff>659244</xdr:rowOff>
    </xdr:to>
    <xdr:sp macro="[0]!ONE_1" textlink="">
      <xdr:nvSpPr>
        <xdr:cNvPr id="7" name="Rounded Rectangle 6">
          <a:extLst>
            <a:ext uri="{FF2B5EF4-FFF2-40B4-BE49-F238E27FC236}">
              <a16:creationId xmlns:a16="http://schemas.microsoft.com/office/drawing/2014/main" id="{28AB9BAE-E7F5-BC42-8F8F-349924342BB1}"/>
            </a:ext>
          </a:extLst>
        </xdr:cNvPr>
        <xdr:cNvSpPr/>
      </xdr:nvSpPr>
      <xdr:spPr>
        <a:xfrm>
          <a:off x="12247460" y="220517"/>
          <a:ext cx="623455" cy="438727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/>
            <a:t>O1</a:t>
          </a:r>
        </a:p>
      </xdr:txBody>
    </xdr:sp>
    <xdr:clientData/>
  </xdr:twoCellAnchor>
  <xdr:twoCellAnchor editAs="absolute">
    <xdr:from>
      <xdr:col>11</xdr:col>
      <xdr:colOff>122464</xdr:colOff>
      <xdr:row>0</xdr:row>
      <xdr:rowOff>217714</xdr:rowOff>
    </xdr:from>
    <xdr:to>
      <xdr:col>12</xdr:col>
      <xdr:colOff>666749</xdr:colOff>
      <xdr:row>0</xdr:row>
      <xdr:rowOff>656626</xdr:rowOff>
    </xdr:to>
    <xdr:sp macro="[0]!Calculate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7C4667BB-1182-D4C1-02AB-39F18A180541}"/>
            </a:ext>
          </a:extLst>
        </xdr:cNvPr>
        <xdr:cNvSpPr/>
      </xdr:nvSpPr>
      <xdr:spPr>
        <a:xfrm>
          <a:off x="13117285" y="217714"/>
          <a:ext cx="2156733" cy="438912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rgbClr val="FFFF00"/>
              </a:solidFill>
            </a:rPr>
            <a:t>RUN</a:t>
          </a:r>
          <a:r>
            <a:rPr lang="en-US" sz="1400" b="1" baseline="0">
              <a:solidFill>
                <a:srgbClr val="FFFF00"/>
              </a:solidFill>
            </a:rPr>
            <a:t> </a:t>
          </a:r>
          <a:r>
            <a:rPr lang="en-US" sz="2000" b="1">
              <a:solidFill>
                <a:srgbClr val="FFFF00"/>
              </a:solidFill>
            </a:rPr>
            <a:t>FORMULA</a:t>
          </a:r>
          <a:endParaRPr lang="en-US" sz="1400" b="1">
            <a:solidFill>
              <a:srgbClr val="FFFF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1087437</xdr:colOff>
      <xdr:row>6</xdr:row>
      <xdr:rowOff>9526</xdr:rowOff>
    </xdr:from>
    <xdr:to>
      <xdr:col>3</xdr:col>
      <xdr:colOff>157797</xdr:colOff>
      <xdr:row>8</xdr:row>
      <xdr:rowOff>1</xdr:rowOff>
    </xdr:to>
    <xdr:sp macro="[0]!Reformat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SpPr/>
      </xdr:nvSpPr>
      <xdr:spPr>
        <a:xfrm>
          <a:off x="1611312" y="1133476"/>
          <a:ext cx="1280160" cy="447675"/>
        </a:xfrm>
        <a:prstGeom prst="roundRect">
          <a:avLst>
            <a:gd name="adj" fmla="val 16667"/>
          </a:avLst>
        </a:prstGeom>
        <a:solidFill>
          <a:srgbClr val="CC4125"/>
        </a:solidFill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EACF17"/>
              </a:solidFill>
              <a:latin typeface="Roboto"/>
              <a:ea typeface="Roboto"/>
              <a:cs typeface="Roboto"/>
              <a:sym typeface="Roboto"/>
            </a:rPr>
            <a:t>REFORMAT</a:t>
          </a:r>
          <a:endParaRPr sz="1400" b="1">
            <a:solidFill>
              <a:srgbClr val="EACF17"/>
            </a:solidFill>
            <a:latin typeface="Roboto"/>
            <a:ea typeface="Roboto"/>
            <a:cs typeface="Roboto"/>
            <a:sym typeface="Roboto"/>
          </a:endParaRPr>
        </a:p>
      </xdr:txBody>
    </xdr:sp>
    <xdr:clientData/>
  </xdr:twoCellAnchor>
  <xdr:twoCellAnchor editAs="absolute">
    <xdr:from>
      <xdr:col>2</xdr:col>
      <xdr:colOff>6349</xdr:colOff>
      <xdr:row>9</xdr:row>
      <xdr:rowOff>14289</xdr:rowOff>
    </xdr:from>
    <xdr:to>
      <xdr:col>3</xdr:col>
      <xdr:colOff>509587</xdr:colOff>
      <xdr:row>11</xdr:row>
      <xdr:rowOff>9526</xdr:rowOff>
    </xdr:to>
    <xdr:sp macro="[0]!AllSavePDF" textlink="">
      <xdr:nvSpPr>
        <xdr:cNvPr id="2" name="Shape 9">
          <a:extLst>
            <a:ext uri="{FF2B5EF4-FFF2-40B4-BE49-F238E27FC236}">
              <a16:creationId xmlns:a16="http://schemas.microsoft.com/office/drawing/2014/main" id="{639139E1-61E1-D315-6CA5-CE13DC843E5A}"/>
            </a:ext>
          </a:extLst>
        </xdr:cNvPr>
        <xdr:cNvSpPr/>
      </xdr:nvSpPr>
      <xdr:spPr>
        <a:xfrm>
          <a:off x="1635124" y="1785939"/>
          <a:ext cx="1608138" cy="447675"/>
        </a:xfrm>
        <a:prstGeom prst="roundRect">
          <a:avLst>
            <a:gd name="adj" fmla="val 16667"/>
          </a:avLst>
        </a:prstGeom>
        <a:solidFill>
          <a:srgbClr val="CC4125"/>
        </a:solidFill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EACF17"/>
              </a:solidFill>
              <a:latin typeface="Roboto"/>
              <a:ea typeface="Roboto"/>
              <a:cs typeface="Roboto"/>
              <a:sym typeface="Roboto"/>
            </a:rPr>
            <a:t>SAVE</a:t>
          </a:r>
          <a:r>
            <a:rPr lang="en-US" sz="1400" b="1" baseline="0">
              <a:solidFill>
                <a:srgbClr val="EACF17"/>
              </a:solidFill>
              <a:latin typeface="Roboto"/>
              <a:ea typeface="Roboto"/>
              <a:cs typeface="Roboto"/>
              <a:sym typeface="Roboto"/>
            </a:rPr>
            <a:t> PDF ALL</a:t>
          </a:r>
          <a:endParaRPr sz="1400" b="1">
            <a:solidFill>
              <a:srgbClr val="EACF17"/>
            </a:solidFill>
            <a:latin typeface="Roboto"/>
            <a:ea typeface="Roboto"/>
            <a:cs typeface="Roboto"/>
            <a:sym typeface="Roboto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niel Wang" id="{04DD267A-CE5B-4937-835B-987E2FB17B3F}" userId="S::daniel.wang@kcglobalmedia.com::4d2c11b0-81f7-4bcc-b067-e405ab73e995" providerId="AD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3-05-15T17:09:18.84" personId="{04DD267A-CE5B-4937-835B-987E2FB17B3F}" id="{B534058F-502E-468A-B3C8-E80A3F6CACCF}">
    <text>NOTICE**
&gt; Click 'RUN FORMULA' after making changes to the sheet, including filling in, deleting, inserting, or modifying
&gt; Can click 'RUN FORMULA' multiple times without causing errors 
&gt; For Excel desktop only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41"/>
  <sheetViews>
    <sheetView showZeros="0" zoomScale="120" zoomScaleNormal="120" workbookViewId="0">
      <pane ySplit="1" topLeftCell="A2" activePane="bottomLeft" state="frozen"/>
      <selection pane="bottomLeft" activeCell="D1" sqref="D1"/>
    </sheetView>
  </sheetViews>
  <sheetFormatPr baseColWidth="10" defaultColWidth="14.5" defaultRowHeight="15" customHeight="1" x14ac:dyDescent="0.2"/>
  <cols>
    <col min="1" max="1" width="11" customWidth="1"/>
    <col min="2" max="2" width="12.83203125" customWidth="1"/>
    <col min="3" max="3" width="16.33203125" customWidth="1"/>
    <col min="4" max="4" width="21.83203125" customWidth="1"/>
    <col min="5" max="5" width="12.6640625" customWidth="1"/>
    <col min="6" max="6" width="17.5" customWidth="1"/>
    <col min="7" max="7" width="126.83203125" customWidth="1"/>
    <col min="8" max="8" width="49.6640625" customWidth="1"/>
    <col min="9" max="11" width="9.1640625" customWidth="1"/>
  </cols>
  <sheetData>
    <row r="1" spans="1:8" ht="12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9" t="s">
        <v>6</v>
      </c>
      <c r="H1" s="1" t="s">
        <v>7</v>
      </c>
    </row>
    <row r="2" spans="1:8" ht="12.75" customHeight="1" x14ac:dyDescent="0.2">
      <c r="A2" s="79" t="s">
        <v>8</v>
      </c>
      <c r="B2" s="79" t="s">
        <v>9</v>
      </c>
      <c r="C2" s="79"/>
      <c r="D2" s="79"/>
      <c r="E2" s="79" t="s">
        <v>10</v>
      </c>
      <c r="F2" s="79" t="s">
        <v>11</v>
      </c>
      <c r="G2" s="80"/>
      <c r="H2" s="79" t="s">
        <v>12</v>
      </c>
    </row>
    <row r="3" spans="1:8" ht="12.75" customHeight="1" x14ac:dyDescent="0.2">
      <c r="A3" s="40" t="s">
        <v>8</v>
      </c>
      <c r="B3" s="40" t="s">
        <v>13</v>
      </c>
      <c r="C3" s="40"/>
      <c r="D3" s="40"/>
      <c r="E3" s="40" t="s">
        <v>10</v>
      </c>
      <c r="F3" s="40" t="s">
        <v>14</v>
      </c>
      <c r="G3" s="41" t="s">
        <v>15</v>
      </c>
      <c r="H3" s="40" t="s">
        <v>16</v>
      </c>
    </row>
    <row r="4" spans="1:8" ht="12.75" customHeight="1" x14ac:dyDescent="0.2">
      <c r="A4" s="40" t="s">
        <v>8</v>
      </c>
      <c r="B4" s="40" t="s">
        <v>17</v>
      </c>
      <c r="C4" s="40"/>
      <c r="D4" s="40"/>
      <c r="E4" s="40" t="s">
        <v>10</v>
      </c>
      <c r="F4" s="40" t="s">
        <v>14</v>
      </c>
      <c r="G4" s="41"/>
      <c r="H4" s="42" t="s">
        <v>18</v>
      </c>
    </row>
    <row r="5" spans="1:8" ht="12.75" customHeight="1" x14ac:dyDescent="0.2">
      <c r="A5" s="43" t="s">
        <v>19</v>
      </c>
      <c r="B5" s="43" t="s">
        <v>20</v>
      </c>
      <c r="C5" s="43"/>
      <c r="D5" s="43"/>
      <c r="E5" s="43" t="s">
        <v>10</v>
      </c>
      <c r="F5" s="43" t="s">
        <v>11</v>
      </c>
      <c r="G5" s="44"/>
      <c r="H5" s="43" t="s">
        <v>16</v>
      </c>
    </row>
    <row r="6" spans="1:8" ht="12.75" customHeight="1" x14ac:dyDescent="0.2">
      <c r="A6" s="43" t="s">
        <v>19</v>
      </c>
      <c r="B6" s="43" t="s">
        <v>21</v>
      </c>
      <c r="C6" s="43"/>
      <c r="D6" s="43"/>
      <c r="E6" s="43" t="s">
        <v>10</v>
      </c>
      <c r="F6" s="43" t="s">
        <v>14</v>
      </c>
      <c r="G6" s="44" t="s">
        <v>22</v>
      </c>
      <c r="H6" s="43" t="s">
        <v>23</v>
      </c>
    </row>
    <row r="7" spans="1:8" ht="12.75" customHeight="1" x14ac:dyDescent="0.2">
      <c r="A7" s="45" t="s">
        <v>24</v>
      </c>
      <c r="B7" s="45" t="s">
        <v>25</v>
      </c>
      <c r="C7" s="45"/>
      <c r="D7" s="45"/>
      <c r="E7" s="45" t="s">
        <v>10</v>
      </c>
      <c r="F7" s="45" t="s">
        <v>26</v>
      </c>
      <c r="G7" s="46"/>
      <c r="H7" s="45" t="s">
        <v>27</v>
      </c>
    </row>
    <row r="8" spans="1:8" ht="12.75" customHeight="1" x14ac:dyDescent="0.2">
      <c r="A8" s="81" t="s">
        <v>24</v>
      </c>
      <c r="B8" s="81" t="s">
        <v>28</v>
      </c>
      <c r="C8" s="81"/>
      <c r="D8" s="81"/>
      <c r="E8" s="81" t="s">
        <v>10</v>
      </c>
      <c r="F8" s="81" t="s">
        <v>11</v>
      </c>
      <c r="G8" s="82" t="s">
        <v>29</v>
      </c>
      <c r="H8" s="81" t="s">
        <v>30</v>
      </c>
    </row>
    <row r="9" spans="1:8" ht="12.75" customHeight="1" x14ac:dyDescent="0.2">
      <c r="A9" s="45" t="s">
        <v>24</v>
      </c>
      <c r="B9" s="45" t="s">
        <v>31</v>
      </c>
      <c r="C9" s="45"/>
      <c r="D9" s="45"/>
      <c r="E9" s="45" t="s">
        <v>10</v>
      </c>
      <c r="F9" s="45" t="s">
        <v>11</v>
      </c>
      <c r="G9" s="46"/>
      <c r="H9" s="45" t="s">
        <v>30</v>
      </c>
    </row>
    <row r="10" spans="1:8" x14ac:dyDescent="0.2">
      <c r="A10" s="47" t="s">
        <v>32</v>
      </c>
      <c r="B10" s="47" t="s">
        <v>33</v>
      </c>
      <c r="C10" s="47"/>
      <c r="D10" s="47"/>
      <c r="E10" s="47" t="s">
        <v>34</v>
      </c>
      <c r="F10" s="47" t="s">
        <v>35</v>
      </c>
      <c r="G10" s="48" t="s">
        <v>36</v>
      </c>
      <c r="H10" s="47" t="s">
        <v>37</v>
      </c>
    </row>
    <row r="11" spans="1:8" x14ac:dyDescent="0.2">
      <c r="A11" s="49" t="s">
        <v>32</v>
      </c>
      <c r="B11" s="49" t="s">
        <v>38</v>
      </c>
      <c r="C11" s="49"/>
      <c r="D11" s="49"/>
      <c r="E11" s="49" t="s">
        <v>34</v>
      </c>
      <c r="F11" s="49" t="s">
        <v>14</v>
      </c>
      <c r="G11" s="50" t="s">
        <v>39</v>
      </c>
      <c r="H11" s="51" t="s">
        <v>37</v>
      </c>
    </row>
    <row r="12" spans="1:8" ht="12.75" customHeight="1" x14ac:dyDescent="0.2">
      <c r="A12" s="83" t="s">
        <v>32</v>
      </c>
      <c r="B12" s="83" t="s">
        <v>40</v>
      </c>
      <c r="C12" s="83"/>
      <c r="D12" s="83"/>
      <c r="E12" s="83" t="s">
        <v>34</v>
      </c>
      <c r="F12" s="83" t="s">
        <v>41</v>
      </c>
      <c r="G12" s="84" t="s">
        <v>42</v>
      </c>
      <c r="H12" s="83" t="s">
        <v>43</v>
      </c>
    </row>
    <row r="13" spans="1:8" ht="12.75" customHeight="1" x14ac:dyDescent="0.2">
      <c r="A13" s="47" t="s">
        <v>32</v>
      </c>
      <c r="B13" s="47" t="s">
        <v>44</v>
      </c>
      <c r="C13" s="47"/>
      <c r="D13" s="47"/>
      <c r="E13" s="47" t="s">
        <v>34</v>
      </c>
      <c r="F13" s="47" t="s">
        <v>41</v>
      </c>
      <c r="G13" s="48" t="s">
        <v>45</v>
      </c>
      <c r="H13" s="47" t="s">
        <v>37</v>
      </c>
    </row>
    <row r="14" spans="1:8" ht="12.75" customHeight="1" x14ac:dyDescent="0.2">
      <c r="A14" s="47" t="s">
        <v>32</v>
      </c>
      <c r="B14" s="47" t="s">
        <v>46</v>
      </c>
      <c r="C14" s="47"/>
      <c r="D14" s="47"/>
      <c r="E14" s="47" t="s">
        <v>34</v>
      </c>
      <c r="F14" s="49" t="s">
        <v>14</v>
      </c>
      <c r="G14" s="48" t="s">
        <v>47</v>
      </c>
      <c r="H14" s="47" t="s">
        <v>48</v>
      </c>
    </row>
    <row r="15" spans="1:8" ht="12.75" customHeight="1" x14ac:dyDescent="0.2">
      <c r="A15" s="52" t="s">
        <v>49</v>
      </c>
      <c r="B15" s="52" t="s">
        <v>50</v>
      </c>
      <c r="C15" s="52"/>
      <c r="D15" s="52"/>
      <c r="E15" s="52" t="s">
        <v>34</v>
      </c>
      <c r="F15" s="52" t="s">
        <v>14</v>
      </c>
      <c r="G15" s="52"/>
      <c r="H15" s="52" t="s">
        <v>51</v>
      </c>
    </row>
    <row r="16" spans="1:8" x14ac:dyDescent="0.2">
      <c r="A16" s="53" t="s">
        <v>49</v>
      </c>
      <c r="B16" s="53" t="s">
        <v>52</v>
      </c>
      <c r="C16" s="53"/>
      <c r="D16" s="53"/>
      <c r="E16" s="53" t="s">
        <v>34</v>
      </c>
      <c r="F16" s="53" t="s">
        <v>53</v>
      </c>
      <c r="G16" s="53" t="s">
        <v>54</v>
      </c>
      <c r="H16" s="53" t="s">
        <v>55</v>
      </c>
    </row>
    <row r="17" spans="1:8" x14ac:dyDescent="0.2">
      <c r="A17" s="53" t="s">
        <v>49</v>
      </c>
      <c r="B17" s="53" t="s">
        <v>243</v>
      </c>
      <c r="C17" s="53"/>
      <c r="D17" s="219"/>
      <c r="E17" s="219" t="s">
        <v>34</v>
      </c>
      <c r="F17" s="219" t="s">
        <v>41</v>
      </c>
      <c r="G17" s="53"/>
      <c r="H17" s="53" t="s">
        <v>244</v>
      </c>
    </row>
    <row r="18" spans="1:8" ht="12.75" customHeight="1" x14ac:dyDescent="0.2">
      <c r="A18" s="52" t="s">
        <v>49</v>
      </c>
      <c r="B18" s="52" t="s">
        <v>56</v>
      </c>
      <c r="C18" s="52"/>
      <c r="D18" s="52"/>
      <c r="E18" s="52" t="s">
        <v>34</v>
      </c>
      <c r="F18" s="52" t="s">
        <v>14</v>
      </c>
      <c r="G18" s="54" t="s">
        <v>57</v>
      </c>
      <c r="H18" s="53" t="s">
        <v>244</v>
      </c>
    </row>
    <row r="19" spans="1:8" ht="12.75" customHeight="1" x14ac:dyDescent="0.2">
      <c r="A19" s="52" t="s">
        <v>58</v>
      </c>
      <c r="B19" s="52" t="s">
        <v>59</v>
      </c>
      <c r="C19" s="52"/>
      <c r="D19" s="52"/>
      <c r="E19" s="52" t="s">
        <v>10</v>
      </c>
      <c r="F19" s="52" t="s">
        <v>11</v>
      </c>
      <c r="G19" s="54"/>
      <c r="H19" s="52" t="s">
        <v>48</v>
      </c>
    </row>
    <row r="20" spans="1:8" ht="12.75" customHeight="1" x14ac:dyDescent="0.2">
      <c r="A20" s="52" t="s">
        <v>58</v>
      </c>
      <c r="B20" s="52" t="s">
        <v>60</v>
      </c>
      <c r="C20" s="55"/>
      <c r="D20" s="52"/>
      <c r="E20" s="52" t="s">
        <v>34</v>
      </c>
      <c r="F20" s="52" t="s">
        <v>14</v>
      </c>
      <c r="G20" s="56"/>
      <c r="H20" s="52" t="s">
        <v>48</v>
      </c>
    </row>
    <row r="21" spans="1:8" ht="12.75" customHeight="1" x14ac:dyDescent="0.2">
      <c r="A21" s="57" t="s">
        <v>61</v>
      </c>
      <c r="B21" s="57" t="s">
        <v>62</v>
      </c>
      <c r="C21" s="57"/>
      <c r="D21" s="57"/>
      <c r="E21" s="57" t="s">
        <v>34</v>
      </c>
      <c r="F21" s="58" t="s">
        <v>14</v>
      </c>
      <c r="G21" s="59" t="s">
        <v>63</v>
      </c>
      <c r="H21" s="58" t="s">
        <v>64</v>
      </c>
    </row>
    <row r="22" spans="1:8" ht="12.75" customHeight="1" x14ac:dyDescent="0.2">
      <c r="A22" s="85" t="s">
        <v>61</v>
      </c>
      <c r="B22" s="85" t="s">
        <v>65</v>
      </c>
      <c r="C22" s="85"/>
      <c r="D22" s="85"/>
      <c r="E22" s="85" t="s">
        <v>34</v>
      </c>
      <c r="F22" s="85" t="s">
        <v>66</v>
      </c>
      <c r="G22" s="86" t="s">
        <v>67</v>
      </c>
      <c r="H22" s="85" t="s">
        <v>64</v>
      </c>
    </row>
    <row r="23" spans="1:8" ht="12" customHeight="1" x14ac:dyDescent="0.2">
      <c r="A23" s="57" t="s">
        <v>61</v>
      </c>
      <c r="B23" s="57" t="s">
        <v>68</v>
      </c>
      <c r="C23" s="57"/>
      <c r="D23" s="57"/>
      <c r="E23" s="57" t="s">
        <v>34</v>
      </c>
      <c r="F23" s="58" t="s">
        <v>14</v>
      </c>
      <c r="G23" s="60"/>
      <c r="H23" s="58" t="s">
        <v>69</v>
      </c>
    </row>
    <row r="24" spans="1:8" ht="12.75" customHeight="1" x14ac:dyDescent="0.2">
      <c r="A24" s="57" t="s">
        <v>61</v>
      </c>
      <c r="B24" s="57" t="s">
        <v>70</v>
      </c>
      <c r="C24" s="57"/>
      <c r="D24" s="57"/>
      <c r="E24" s="57" t="s">
        <v>34</v>
      </c>
      <c r="F24" s="57" t="s">
        <v>14</v>
      </c>
      <c r="G24" s="60"/>
      <c r="H24" s="58" t="s">
        <v>71</v>
      </c>
    </row>
    <row r="25" spans="1:8" ht="12.75" customHeight="1" x14ac:dyDescent="0.2">
      <c r="A25" s="85" t="s">
        <v>61</v>
      </c>
      <c r="B25" s="85" t="s">
        <v>72</v>
      </c>
      <c r="C25" s="85"/>
      <c r="D25" s="85"/>
      <c r="E25" s="85" t="s">
        <v>34</v>
      </c>
      <c r="F25" s="85" t="s">
        <v>14</v>
      </c>
      <c r="G25" s="86"/>
      <c r="H25" s="85" t="s">
        <v>37</v>
      </c>
    </row>
    <row r="26" spans="1:8" ht="12.75" customHeight="1" x14ac:dyDescent="0.2">
      <c r="A26" s="85" t="s">
        <v>61</v>
      </c>
      <c r="B26" s="85" t="s">
        <v>73</v>
      </c>
      <c r="C26" s="85"/>
      <c r="D26" s="85"/>
      <c r="E26" s="85" t="s">
        <v>34</v>
      </c>
      <c r="F26" s="85" t="s">
        <v>11</v>
      </c>
      <c r="G26" s="86"/>
      <c r="H26" s="85" t="s">
        <v>23</v>
      </c>
    </row>
    <row r="27" spans="1:8" ht="12.75" customHeight="1" x14ac:dyDescent="0.2">
      <c r="A27" s="85" t="s">
        <v>61</v>
      </c>
      <c r="B27" s="85" t="s">
        <v>74</v>
      </c>
      <c r="C27" s="85"/>
      <c r="D27" s="85"/>
      <c r="E27" s="85" t="s">
        <v>34</v>
      </c>
      <c r="F27" s="85" t="s">
        <v>14</v>
      </c>
      <c r="G27" s="86" t="s">
        <v>75</v>
      </c>
      <c r="H27" s="85" t="s">
        <v>23</v>
      </c>
    </row>
    <row r="28" spans="1:8" ht="12.75" customHeight="1" x14ac:dyDescent="0.2">
      <c r="A28" s="85" t="s">
        <v>61</v>
      </c>
      <c r="B28" s="85" t="s">
        <v>76</v>
      </c>
      <c r="C28" s="85"/>
      <c r="D28" s="85"/>
      <c r="E28" s="85" t="s">
        <v>34</v>
      </c>
      <c r="F28" s="85" t="s">
        <v>11</v>
      </c>
      <c r="G28" s="86" t="s">
        <v>77</v>
      </c>
      <c r="H28" s="85" t="s">
        <v>16</v>
      </c>
    </row>
    <row r="29" spans="1:8" ht="12.75" customHeight="1" x14ac:dyDescent="0.2">
      <c r="A29" s="85" t="s">
        <v>61</v>
      </c>
      <c r="B29" s="85" t="s">
        <v>78</v>
      </c>
      <c r="C29" s="85"/>
      <c r="D29" s="85"/>
      <c r="E29" s="85" t="s">
        <v>34</v>
      </c>
      <c r="F29" s="85" t="s">
        <v>14</v>
      </c>
      <c r="G29" s="86" t="s">
        <v>79</v>
      </c>
      <c r="H29" s="87"/>
    </row>
    <row r="30" spans="1:8" ht="12.75" customHeight="1" x14ac:dyDescent="0.2">
      <c r="A30" s="57" t="s">
        <v>61</v>
      </c>
      <c r="B30" s="57" t="s">
        <v>80</v>
      </c>
      <c r="C30" s="57"/>
      <c r="D30" s="57"/>
      <c r="E30" s="57" t="s">
        <v>34</v>
      </c>
      <c r="F30" s="57" t="s">
        <v>14</v>
      </c>
      <c r="G30" s="60"/>
      <c r="H30" s="58" t="s">
        <v>81</v>
      </c>
    </row>
    <row r="31" spans="1:8" ht="12.75" customHeight="1" x14ac:dyDescent="0.2">
      <c r="A31" s="57" t="s">
        <v>61</v>
      </c>
      <c r="B31" s="57" t="s">
        <v>82</v>
      </c>
      <c r="C31" s="57"/>
      <c r="D31" s="57"/>
      <c r="E31" s="57" t="s">
        <v>34</v>
      </c>
      <c r="F31" s="57" t="s">
        <v>14</v>
      </c>
      <c r="G31" s="60"/>
      <c r="H31" s="58" t="s">
        <v>71</v>
      </c>
    </row>
    <row r="32" spans="1:8" ht="12.75" customHeight="1" x14ac:dyDescent="0.2">
      <c r="A32" s="61" t="s">
        <v>83</v>
      </c>
      <c r="B32" s="61" t="s">
        <v>84</v>
      </c>
      <c r="C32" s="61"/>
      <c r="D32" s="61"/>
      <c r="E32" s="61" t="s">
        <v>34</v>
      </c>
      <c r="F32" s="61" t="s">
        <v>11</v>
      </c>
      <c r="G32" s="62"/>
      <c r="H32" s="61" t="s">
        <v>85</v>
      </c>
    </row>
    <row r="33" spans="1:8" ht="12.75" customHeight="1" x14ac:dyDescent="0.2">
      <c r="A33" s="61" t="s">
        <v>83</v>
      </c>
      <c r="B33" s="61" t="s">
        <v>86</v>
      </c>
      <c r="C33" s="61"/>
      <c r="D33" s="61"/>
      <c r="E33" s="61" t="s">
        <v>34</v>
      </c>
      <c r="F33" s="61" t="s">
        <v>11</v>
      </c>
      <c r="G33" s="62"/>
      <c r="H33" s="61" t="s">
        <v>85</v>
      </c>
    </row>
    <row r="34" spans="1:8" ht="12.75" customHeight="1" x14ac:dyDescent="0.2">
      <c r="A34" s="61" t="s">
        <v>83</v>
      </c>
      <c r="B34" s="61" t="s">
        <v>87</v>
      </c>
      <c r="C34" s="61"/>
      <c r="D34" s="61"/>
      <c r="E34" s="61" t="s">
        <v>34</v>
      </c>
      <c r="F34" s="61" t="s">
        <v>11</v>
      </c>
      <c r="G34" s="62"/>
      <c r="H34" s="61" t="s">
        <v>85</v>
      </c>
    </row>
    <row r="35" spans="1:8" ht="12.75" customHeight="1" x14ac:dyDescent="0.2">
      <c r="A35" s="63" t="s">
        <v>88</v>
      </c>
      <c r="B35" s="63" t="s">
        <v>89</v>
      </c>
      <c r="C35" s="63"/>
      <c r="D35" s="63"/>
      <c r="E35" s="63" t="s">
        <v>34</v>
      </c>
      <c r="F35" s="63" t="s">
        <v>41</v>
      </c>
      <c r="G35" s="64" t="s">
        <v>90</v>
      </c>
      <c r="H35" s="63" t="s">
        <v>91</v>
      </c>
    </row>
    <row r="36" spans="1:8" ht="12.75" customHeight="1" x14ac:dyDescent="0.2">
      <c r="A36" s="63" t="s">
        <v>88</v>
      </c>
      <c r="B36" s="63" t="s">
        <v>92</v>
      </c>
      <c r="C36" s="63"/>
      <c r="D36" s="63"/>
      <c r="E36" s="63" t="s">
        <v>10</v>
      </c>
      <c r="F36" s="63" t="s">
        <v>14</v>
      </c>
      <c r="G36" s="64"/>
      <c r="H36" s="63" t="s">
        <v>16</v>
      </c>
    </row>
    <row r="37" spans="1:8" ht="12.75" customHeight="1" x14ac:dyDescent="0.2">
      <c r="A37" s="65" t="s">
        <v>93</v>
      </c>
      <c r="B37" s="65" t="s">
        <v>94</v>
      </c>
      <c r="C37" s="65"/>
      <c r="D37" s="65"/>
      <c r="E37" s="65" t="s">
        <v>10</v>
      </c>
      <c r="F37" s="65" t="s">
        <v>14</v>
      </c>
      <c r="G37" s="66" t="s">
        <v>95</v>
      </c>
      <c r="H37" s="65" t="s">
        <v>96</v>
      </c>
    </row>
    <row r="38" spans="1:8" ht="12.75" customHeight="1" x14ac:dyDescent="0.2">
      <c r="A38" s="67" t="s">
        <v>97</v>
      </c>
      <c r="B38" s="68" t="s">
        <v>98</v>
      </c>
      <c r="C38" s="67"/>
      <c r="D38" s="67"/>
      <c r="E38" s="67" t="s">
        <v>10</v>
      </c>
      <c r="F38" s="67" t="s">
        <v>14</v>
      </c>
      <c r="G38" s="69"/>
      <c r="H38" s="67" t="s">
        <v>99</v>
      </c>
    </row>
    <row r="39" spans="1:8" ht="12.75" customHeight="1" x14ac:dyDescent="0.2">
      <c r="A39" s="67" t="s">
        <v>97</v>
      </c>
      <c r="B39" s="68" t="s">
        <v>100</v>
      </c>
      <c r="C39" s="67"/>
      <c r="D39" s="67"/>
      <c r="E39" s="67" t="s">
        <v>10</v>
      </c>
      <c r="F39" s="67" t="s">
        <v>14</v>
      </c>
      <c r="G39" s="69"/>
      <c r="H39" s="67" t="s">
        <v>23</v>
      </c>
    </row>
    <row r="40" spans="1:8" ht="12.75" customHeight="1" x14ac:dyDescent="0.2">
      <c r="A40" s="70" t="s">
        <v>101</v>
      </c>
      <c r="B40" s="71" t="s">
        <v>245</v>
      </c>
      <c r="C40" s="70"/>
      <c r="D40" s="70"/>
      <c r="E40" s="70" t="s">
        <v>10</v>
      </c>
      <c r="F40" s="70" t="s">
        <v>14</v>
      </c>
      <c r="G40" s="72"/>
      <c r="H40" s="70" t="s">
        <v>102</v>
      </c>
    </row>
    <row r="41" spans="1:8" ht="12.75" customHeight="1" x14ac:dyDescent="0.2">
      <c r="A41" s="73" t="s">
        <v>103</v>
      </c>
      <c r="B41" s="74" t="s">
        <v>104</v>
      </c>
      <c r="C41" s="73"/>
      <c r="D41" s="73"/>
      <c r="E41" s="73" t="s">
        <v>34</v>
      </c>
      <c r="F41" s="73" t="s">
        <v>41</v>
      </c>
      <c r="G41" s="75" t="s">
        <v>90</v>
      </c>
      <c r="H41" s="73" t="s">
        <v>102</v>
      </c>
    </row>
  </sheetData>
  <pageMargins left="0.70866141732283505" right="0.70866141732283505" top="0.74803149606299202" bottom="0.74803149606299202" header="0" footer="0"/>
  <pageSetup scale="44" orientation="landscape" r:id="rId1"/>
  <headerFooter>
    <oddFooter>&amp;C&amp;"Calibri,Regular"&amp;K00000010 Changi Business Park Central 2, #03-08 Hansapoint @CBP, Singapore 486030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0000"/>
    <pageSetUpPr fitToPage="1"/>
  </sheetPr>
  <dimension ref="A1:N816"/>
  <sheetViews>
    <sheetView showZeros="0" tabSelected="1" zoomScaleNormal="100" workbookViewId="0">
      <pane ySplit="2" topLeftCell="A3" activePane="bottomLeft" state="frozen"/>
      <selection activeCell="K3" sqref="K3:L4"/>
      <selection pane="bottomLeft" activeCell="A9" sqref="A9"/>
    </sheetView>
  </sheetViews>
  <sheetFormatPr baseColWidth="10" defaultColWidth="14.5" defaultRowHeight="15" customHeight="1" x14ac:dyDescent="0.2"/>
  <cols>
    <col min="1" max="1" width="10.1640625" style="96" customWidth="1"/>
    <col min="2" max="2" width="39.83203125" style="96" customWidth="1"/>
    <col min="3" max="3" width="24.5" style="96" customWidth="1"/>
    <col min="4" max="4" width="25.1640625" style="96" customWidth="1"/>
    <col min="5" max="5" width="5.83203125" style="191" customWidth="1"/>
    <col min="6" max="6" width="11.33203125" style="96" customWidth="1"/>
    <col min="7" max="7" width="11.6640625" style="113" customWidth="1"/>
    <col min="8" max="8" width="14.6640625" style="108" customWidth="1"/>
    <col min="9" max="9" width="13.6640625" style="108" customWidth="1"/>
    <col min="10" max="10" width="12.1640625" style="96" customWidth="1"/>
    <col min="11" max="11" width="13" style="96" customWidth="1"/>
    <col min="12" max="12" width="22.5" style="100" customWidth="1"/>
    <col min="13" max="13" width="11.1640625" customWidth="1"/>
    <col min="14" max="14" width="31.5" hidden="1" customWidth="1"/>
    <col min="15" max="15" width="8.6640625" customWidth="1"/>
  </cols>
  <sheetData>
    <row r="1" spans="1:14" ht="74.25" customHeight="1" x14ac:dyDescent="0.2">
      <c r="A1" s="231" t="s">
        <v>232</v>
      </c>
      <c r="B1" s="231"/>
      <c r="C1" s="231"/>
      <c r="D1" s="231"/>
      <c r="E1" s="232"/>
      <c r="F1" s="232"/>
      <c r="G1" s="232"/>
      <c r="H1" s="232"/>
      <c r="I1" s="232"/>
      <c r="J1" s="232"/>
      <c r="K1" s="232"/>
      <c r="L1" s="232"/>
      <c r="M1" s="233"/>
      <c r="N1" s="88"/>
    </row>
    <row r="2" spans="1:14" ht="33" customHeight="1" x14ac:dyDescent="0.2">
      <c r="A2" s="92" t="s">
        <v>105</v>
      </c>
      <c r="B2" s="92" t="s">
        <v>106</v>
      </c>
      <c r="C2" s="230" t="s">
        <v>107</v>
      </c>
      <c r="D2" s="230"/>
      <c r="E2" s="188" t="s">
        <v>108</v>
      </c>
      <c r="F2" s="92" t="s">
        <v>109</v>
      </c>
      <c r="G2" s="109" t="s">
        <v>110</v>
      </c>
      <c r="H2" s="210" t="s">
        <v>111</v>
      </c>
      <c r="I2" s="210" t="s">
        <v>112</v>
      </c>
      <c r="J2" s="92" t="s">
        <v>113</v>
      </c>
      <c r="K2" s="92" t="s">
        <v>114</v>
      </c>
      <c r="L2" s="89" t="s">
        <v>115</v>
      </c>
      <c r="M2" s="4" t="s">
        <v>116</v>
      </c>
      <c r="N2" s="3" t="s">
        <v>117</v>
      </c>
    </row>
    <row r="3" spans="1:14" x14ac:dyDescent="0.2">
      <c r="A3" s="94"/>
      <c r="B3" s="93"/>
      <c r="C3" s="93"/>
      <c r="D3" s="93"/>
      <c r="E3" s="190"/>
      <c r="F3" s="90"/>
      <c r="G3" s="217"/>
      <c r="H3" s="107"/>
      <c r="I3" s="107"/>
      <c r="J3" s="90"/>
      <c r="K3" s="93"/>
      <c r="L3" s="95"/>
      <c r="M3" s="220" t="s">
        <v>118</v>
      </c>
      <c r="N3" s="211" t="str">
        <f t="shared" ref="N3:N34" si="0">_xlfn.CONCAT(LEFT(A3,1)&amp;K3&amp;LEFT(L3,3)&amp;LEFT(M3,1))</f>
        <v>N</v>
      </c>
    </row>
    <row r="4" spans="1:14" x14ac:dyDescent="0.2">
      <c r="A4" s="94"/>
      <c r="B4" s="93"/>
      <c r="C4" s="93"/>
      <c r="D4" s="93"/>
      <c r="E4" s="190"/>
      <c r="F4" s="90"/>
      <c r="G4" s="217"/>
      <c r="H4" s="107"/>
      <c r="I4" s="107"/>
      <c r="J4" s="90"/>
      <c r="K4" s="93"/>
      <c r="L4" s="95"/>
      <c r="M4" s="220" t="s">
        <v>118</v>
      </c>
      <c r="N4" s="211" t="str">
        <f t="shared" si="0"/>
        <v>N</v>
      </c>
    </row>
    <row r="5" spans="1:14" x14ac:dyDescent="0.2">
      <c r="A5" s="94"/>
      <c r="B5" s="90"/>
      <c r="C5" s="93"/>
      <c r="D5" s="93"/>
      <c r="E5" s="189"/>
      <c r="F5" s="90"/>
      <c r="G5" s="216"/>
      <c r="H5" s="106"/>
      <c r="I5" s="107"/>
      <c r="J5" s="90"/>
      <c r="K5" s="93"/>
      <c r="L5" s="95"/>
      <c r="M5" s="220" t="s">
        <v>118</v>
      </c>
      <c r="N5" s="211" t="str">
        <f t="shared" si="0"/>
        <v>N</v>
      </c>
    </row>
    <row r="6" spans="1:14" x14ac:dyDescent="0.2">
      <c r="A6" s="94"/>
      <c r="B6" s="90"/>
      <c r="C6" s="93"/>
      <c r="D6" s="93"/>
      <c r="E6" s="189"/>
      <c r="F6" s="90"/>
      <c r="G6" s="216"/>
      <c r="H6" s="106"/>
      <c r="I6" s="106"/>
      <c r="J6" s="90"/>
      <c r="K6" s="93"/>
      <c r="L6" s="95"/>
      <c r="M6" s="220" t="s">
        <v>118</v>
      </c>
      <c r="N6" s="211" t="str">
        <f t="shared" si="0"/>
        <v>N</v>
      </c>
    </row>
    <row r="7" spans="1:14" x14ac:dyDescent="0.2">
      <c r="A7" s="94"/>
      <c r="B7" s="90"/>
      <c r="C7" s="93"/>
      <c r="D7" s="93"/>
      <c r="E7" s="189"/>
      <c r="F7" s="90"/>
      <c r="G7" s="216"/>
      <c r="H7" s="106"/>
      <c r="I7" s="107"/>
      <c r="J7" s="90"/>
      <c r="K7" s="93"/>
      <c r="L7" s="95"/>
      <c r="M7" s="220" t="s">
        <v>118</v>
      </c>
      <c r="N7" s="211" t="str">
        <f t="shared" si="0"/>
        <v>N</v>
      </c>
    </row>
    <row r="8" spans="1:14" x14ac:dyDescent="0.2">
      <c r="A8" s="94"/>
      <c r="B8" s="90"/>
      <c r="C8" s="93"/>
      <c r="D8" s="93"/>
      <c r="E8" s="189"/>
      <c r="F8" s="90"/>
      <c r="G8" s="216"/>
      <c r="H8" s="106"/>
      <c r="I8" s="106"/>
      <c r="J8" s="90"/>
      <c r="K8" s="93"/>
      <c r="L8" s="95"/>
      <c r="M8" s="220" t="s">
        <v>118</v>
      </c>
      <c r="N8" s="211" t="str">
        <f t="shared" si="0"/>
        <v>N</v>
      </c>
    </row>
    <row r="9" spans="1:14" x14ac:dyDescent="0.2">
      <c r="A9" s="94"/>
      <c r="B9" s="90"/>
      <c r="C9" s="93"/>
      <c r="D9" s="93"/>
      <c r="E9" s="189"/>
      <c r="F9" s="90"/>
      <c r="G9" s="216"/>
      <c r="H9" s="106"/>
      <c r="I9" s="107"/>
      <c r="J9" s="90"/>
      <c r="K9" s="93"/>
      <c r="L9" s="95"/>
      <c r="M9" s="220" t="s">
        <v>118</v>
      </c>
      <c r="N9" s="211" t="str">
        <f t="shared" si="0"/>
        <v>N</v>
      </c>
    </row>
    <row r="10" spans="1:14" x14ac:dyDescent="0.2">
      <c r="A10" s="94"/>
      <c r="B10" s="90"/>
      <c r="C10" s="93"/>
      <c r="D10" s="93"/>
      <c r="E10" s="189"/>
      <c r="F10" s="90"/>
      <c r="G10" s="216"/>
      <c r="H10" s="106"/>
      <c r="I10" s="106"/>
      <c r="J10" s="90"/>
      <c r="K10" s="93"/>
      <c r="L10" s="95"/>
      <c r="M10" s="220" t="s">
        <v>118</v>
      </c>
      <c r="N10" s="211" t="str">
        <f t="shared" si="0"/>
        <v>N</v>
      </c>
    </row>
    <row r="11" spans="1:14" x14ac:dyDescent="0.2">
      <c r="A11" s="94"/>
      <c r="B11" s="90"/>
      <c r="C11" s="93"/>
      <c r="D11" s="93"/>
      <c r="E11" s="189"/>
      <c r="F11" s="90"/>
      <c r="G11" s="216"/>
      <c r="H11" s="106"/>
      <c r="I11" s="107"/>
      <c r="J11" s="90"/>
      <c r="K11" s="93"/>
      <c r="L11" s="95"/>
      <c r="M11" s="220" t="s">
        <v>118</v>
      </c>
      <c r="N11" s="211" t="str">
        <f t="shared" si="0"/>
        <v>N</v>
      </c>
    </row>
    <row r="12" spans="1:14" x14ac:dyDescent="0.2">
      <c r="A12" s="94"/>
      <c r="B12" s="90"/>
      <c r="C12" s="93"/>
      <c r="D12" s="93"/>
      <c r="E12" s="189"/>
      <c r="F12" s="90"/>
      <c r="G12" s="216"/>
      <c r="H12" s="106"/>
      <c r="I12" s="106"/>
      <c r="J12" s="90"/>
      <c r="K12" s="93"/>
      <c r="L12" s="95"/>
      <c r="M12" s="220" t="s">
        <v>118</v>
      </c>
      <c r="N12" s="211" t="str">
        <f t="shared" si="0"/>
        <v>N</v>
      </c>
    </row>
    <row r="13" spans="1:14" x14ac:dyDescent="0.2">
      <c r="A13" s="94"/>
      <c r="B13" s="90"/>
      <c r="C13" s="93"/>
      <c r="D13" s="93"/>
      <c r="E13" s="189"/>
      <c r="F13" s="90"/>
      <c r="G13" s="216"/>
      <c r="H13" s="106"/>
      <c r="I13" s="107"/>
      <c r="J13" s="90"/>
      <c r="K13" s="93"/>
      <c r="L13" s="95"/>
      <c r="M13" s="220" t="s">
        <v>118</v>
      </c>
      <c r="N13" s="211" t="str">
        <f t="shared" si="0"/>
        <v>N</v>
      </c>
    </row>
    <row r="14" spans="1:14" x14ac:dyDescent="0.2">
      <c r="A14" s="94"/>
      <c r="B14" s="90"/>
      <c r="C14" s="93"/>
      <c r="D14" s="93"/>
      <c r="E14" s="189"/>
      <c r="F14" s="90"/>
      <c r="G14" s="216"/>
      <c r="H14" s="106"/>
      <c r="I14" s="106"/>
      <c r="J14" s="90"/>
      <c r="K14" s="93"/>
      <c r="L14" s="95"/>
      <c r="M14" s="220" t="s">
        <v>118</v>
      </c>
      <c r="N14" s="211" t="str">
        <f t="shared" si="0"/>
        <v>N</v>
      </c>
    </row>
    <row r="15" spans="1:14" x14ac:dyDescent="0.2">
      <c r="A15" s="95"/>
      <c r="B15" s="90"/>
      <c r="C15" s="90"/>
      <c r="D15" s="90"/>
      <c r="E15" s="189"/>
      <c r="F15" s="90"/>
      <c r="G15" s="216"/>
      <c r="H15" s="106"/>
      <c r="I15" s="106"/>
      <c r="J15" s="90"/>
      <c r="K15" s="93"/>
      <c r="L15" s="95"/>
      <c r="M15" s="220" t="s">
        <v>118</v>
      </c>
      <c r="N15" s="211" t="str">
        <f t="shared" si="0"/>
        <v>N</v>
      </c>
    </row>
    <row r="16" spans="1:14" x14ac:dyDescent="0.2">
      <c r="A16" s="95"/>
      <c r="B16" s="90"/>
      <c r="C16" s="90"/>
      <c r="D16" s="90"/>
      <c r="E16" s="189"/>
      <c r="F16" s="90"/>
      <c r="G16" s="216"/>
      <c r="H16" s="106"/>
      <c r="I16" s="106"/>
      <c r="J16" s="90"/>
      <c r="K16" s="93"/>
      <c r="L16" s="95"/>
      <c r="M16" s="220" t="s">
        <v>118</v>
      </c>
      <c r="N16" s="211" t="str">
        <f t="shared" si="0"/>
        <v>N</v>
      </c>
    </row>
    <row r="17" spans="1:14" x14ac:dyDescent="0.2">
      <c r="A17" s="95"/>
      <c r="B17" s="90"/>
      <c r="C17" s="90"/>
      <c r="D17" s="90"/>
      <c r="E17" s="189"/>
      <c r="F17" s="90"/>
      <c r="G17" s="216"/>
      <c r="H17" s="106"/>
      <c r="I17" s="106"/>
      <c r="J17" s="90"/>
      <c r="K17" s="93"/>
      <c r="L17" s="95"/>
      <c r="M17" s="220" t="s">
        <v>118</v>
      </c>
      <c r="N17" s="211" t="str">
        <f t="shared" si="0"/>
        <v>N</v>
      </c>
    </row>
    <row r="18" spans="1:14" x14ac:dyDescent="0.2">
      <c r="A18" s="95"/>
      <c r="B18" s="90"/>
      <c r="C18" s="90"/>
      <c r="D18" s="93"/>
      <c r="E18" s="189"/>
      <c r="F18" s="90"/>
      <c r="G18" s="216"/>
      <c r="H18" s="106"/>
      <c r="I18" s="106"/>
      <c r="J18" s="90"/>
      <c r="K18" s="93"/>
      <c r="L18" s="95"/>
      <c r="M18" s="220" t="s">
        <v>118</v>
      </c>
      <c r="N18" s="211" t="str">
        <f t="shared" si="0"/>
        <v>N</v>
      </c>
    </row>
    <row r="19" spans="1:14" x14ac:dyDescent="0.2">
      <c r="A19" s="95"/>
      <c r="B19" s="90"/>
      <c r="C19" s="90"/>
      <c r="D19" s="90"/>
      <c r="E19" s="189"/>
      <c r="F19" s="90"/>
      <c r="G19" s="216"/>
      <c r="H19" s="106"/>
      <c r="I19" s="106"/>
      <c r="J19" s="90"/>
      <c r="K19" s="93"/>
      <c r="L19" s="95"/>
      <c r="M19" s="220" t="s">
        <v>118</v>
      </c>
      <c r="N19" s="211" t="str">
        <f t="shared" si="0"/>
        <v>N</v>
      </c>
    </row>
    <row r="20" spans="1:14" x14ac:dyDescent="0.2">
      <c r="A20" s="95"/>
      <c r="B20" s="90"/>
      <c r="C20" s="90"/>
      <c r="D20" s="93"/>
      <c r="E20" s="189"/>
      <c r="F20" s="90"/>
      <c r="G20" s="216"/>
      <c r="H20" s="106"/>
      <c r="I20" s="106"/>
      <c r="J20" s="90"/>
      <c r="K20" s="93"/>
      <c r="L20" s="95"/>
      <c r="M20" s="220" t="s">
        <v>118</v>
      </c>
      <c r="N20" s="211" t="str">
        <f t="shared" si="0"/>
        <v>N</v>
      </c>
    </row>
    <row r="21" spans="1:14" x14ac:dyDescent="0.2">
      <c r="A21" s="95"/>
      <c r="B21" s="90"/>
      <c r="C21" s="90"/>
      <c r="D21" s="90"/>
      <c r="E21" s="189"/>
      <c r="F21" s="90"/>
      <c r="G21" s="216"/>
      <c r="H21" s="106"/>
      <c r="I21" s="106"/>
      <c r="J21" s="90"/>
      <c r="K21" s="93"/>
      <c r="L21" s="95"/>
      <c r="M21" s="220" t="s">
        <v>118</v>
      </c>
      <c r="N21" s="211" t="str">
        <f t="shared" si="0"/>
        <v>N</v>
      </c>
    </row>
    <row r="22" spans="1:14" x14ac:dyDescent="0.2">
      <c r="A22" s="95"/>
      <c r="B22" s="90"/>
      <c r="C22" s="90"/>
      <c r="D22" s="90"/>
      <c r="E22" s="189"/>
      <c r="F22" s="90"/>
      <c r="G22" s="216"/>
      <c r="H22" s="106"/>
      <c r="I22" s="106"/>
      <c r="J22" s="90"/>
      <c r="K22" s="93"/>
      <c r="L22" s="95"/>
      <c r="M22" s="220" t="s">
        <v>118</v>
      </c>
      <c r="N22" s="211" t="str">
        <f t="shared" si="0"/>
        <v>N</v>
      </c>
    </row>
    <row r="23" spans="1:14" x14ac:dyDescent="0.2">
      <c r="A23" s="95"/>
      <c r="B23" s="90"/>
      <c r="C23" s="90"/>
      <c r="D23" s="90"/>
      <c r="E23" s="189"/>
      <c r="F23" s="90"/>
      <c r="G23" s="216"/>
      <c r="H23" s="106"/>
      <c r="I23" s="106"/>
      <c r="J23" s="90"/>
      <c r="K23" s="93"/>
      <c r="L23" s="95"/>
      <c r="M23" s="220" t="s">
        <v>118</v>
      </c>
      <c r="N23" s="211" t="str">
        <f t="shared" si="0"/>
        <v>N</v>
      </c>
    </row>
    <row r="24" spans="1:14" x14ac:dyDescent="0.2">
      <c r="A24" s="95"/>
      <c r="B24" s="90"/>
      <c r="C24" s="90"/>
      <c r="D24" s="93"/>
      <c r="E24" s="189"/>
      <c r="F24" s="90"/>
      <c r="G24" s="216"/>
      <c r="H24" s="106"/>
      <c r="I24" s="106"/>
      <c r="J24" s="90"/>
      <c r="K24" s="93"/>
      <c r="L24" s="95"/>
      <c r="M24" s="220" t="s">
        <v>118</v>
      </c>
      <c r="N24" s="211" t="str">
        <f t="shared" si="0"/>
        <v>N</v>
      </c>
    </row>
    <row r="25" spans="1:14" x14ac:dyDescent="0.2">
      <c r="A25" s="95"/>
      <c r="B25" s="90"/>
      <c r="C25" s="90"/>
      <c r="D25" s="90"/>
      <c r="E25" s="189"/>
      <c r="F25" s="90"/>
      <c r="G25" s="216"/>
      <c r="H25" s="106"/>
      <c r="I25" s="106"/>
      <c r="J25" s="90"/>
      <c r="K25" s="93"/>
      <c r="L25" s="95"/>
      <c r="M25" s="220" t="s">
        <v>118</v>
      </c>
      <c r="N25" s="211" t="str">
        <f t="shared" si="0"/>
        <v>N</v>
      </c>
    </row>
    <row r="26" spans="1:14" x14ac:dyDescent="0.2">
      <c r="A26" s="95"/>
      <c r="B26" s="90"/>
      <c r="C26" s="90"/>
      <c r="D26" s="93"/>
      <c r="E26" s="189"/>
      <c r="F26" s="90"/>
      <c r="G26" s="216"/>
      <c r="H26" s="106"/>
      <c r="I26" s="106"/>
      <c r="J26" s="90"/>
      <c r="K26" s="93"/>
      <c r="L26" s="95"/>
      <c r="M26" s="220" t="s">
        <v>118</v>
      </c>
      <c r="N26" s="211" t="str">
        <f t="shared" si="0"/>
        <v>N</v>
      </c>
    </row>
    <row r="27" spans="1:14" x14ac:dyDescent="0.2">
      <c r="A27" s="95"/>
      <c r="B27" s="90"/>
      <c r="C27" s="90"/>
      <c r="D27" s="90"/>
      <c r="E27" s="189"/>
      <c r="F27" s="90"/>
      <c r="G27" s="216"/>
      <c r="H27" s="106"/>
      <c r="I27" s="106"/>
      <c r="J27" s="90"/>
      <c r="K27" s="93"/>
      <c r="L27" s="95"/>
      <c r="M27" s="220" t="s">
        <v>118</v>
      </c>
      <c r="N27" s="211" t="str">
        <f t="shared" si="0"/>
        <v>N</v>
      </c>
    </row>
    <row r="28" spans="1:14" x14ac:dyDescent="0.2">
      <c r="A28" s="95"/>
      <c r="B28" s="90"/>
      <c r="C28" s="90"/>
      <c r="D28" s="93"/>
      <c r="E28" s="189"/>
      <c r="F28" s="90"/>
      <c r="G28" s="216"/>
      <c r="H28" s="106"/>
      <c r="I28" s="106"/>
      <c r="J28" s="90"/>
      <c r="K28" s="93"/>
      <c r="L28" s="95"/>
      <c r="M28" s="220" t="s">
        <v>118</v>
      </c>
      <c r="N28" s="211" t="str">
        <f t="shared" si="0"/>
        <v>N</v>
      </c>
    </row>
    <row r="29" spans="1:14" x14ac:dyDescent="0.2">
      <c r="A29" s="95"/>
      <c r="B29" s="90"/>
      <c r="C29" s="90"/>
      <c r="D29" s="90"/>
      <c r="E29" s="189"/>
      <c r="F29" s="90"/>
      <c r="G29" s="216"/>
      <c r="H29" s="106"/>
      <c r="I29" s="106"/>
      <c r="J29" s="90"/>
      <c r="K29" s="93"/>
      <c r="L29" s="95"/>
      <c r="M29" s="220" t="s">
        <v>118</v>
      </c>
      <c r="N29" s="211" t="str">
        <f t="shared" si="0"/>
        <v>N</v>
      </c>
    </row>
    <row r="30" spans="1:14" x14ac:dyDescent="0.2">
      <c r="A30" s="95"/>
      <c r="B30" s="90"/>
      <c r="C30" s="90"/>
      <c r="D30" s="93"/>
      <c r="E30" s="189"/>
      <c r="F30" s="90"/>
      <c r="G30" s="216"/>
      <c r="H30" s="106"/>
      <c r="I30" s="106"/>
      <c r="J30" s="90"/>
      <c r="K30" s="93"/>
      <c r="L30" s="95"/>
      <c r="M30" s="220" t="s">
        <v>118</v>
      </c>
      <c r="N30" s="211" t="str">
        <f t="shared" si="0"/>
        <v>N</v>
      </c>
    </row>
    <row r="31" spans="1:14" x14ac:dyDescent="0.2">
      <c r="A31" s="95"/>
      <c r="B31" s="90"/>
      <c r="C31" s="90"/>
      <c r="D31" s="90"/>
      <c r="E31" s="189"/>
      <c r="F31" s="90"/>
      <c r="G31" s="216"/>
      <c r="H31" s="106"/>
      <c r="I31" s="106"/>
      <c r="J31" s="90"/>
      <c r="K31" s="93"/>
      <c r="L31" s="95"/>
      <c r="M31" s="220" t="s">
        <v>118</v>
      </c>
      <c r="N31" s="211" t="str">
        <f t="shared" si="0"/>
        <v>N</v>
      </c>
    </row>
    <row r="32" spans="1:14" x14ac:dyDescent="0.2">
      <c r="A32" s="95"/>
      <c r="B32" s="90"/>
      <c r="C32" s="90"/>
      <c r="D32" s="93"/>
      <c r="E32" s="189"/>
      <c r="F32" s="90"/>
      <c r="G32" s="216"/>
      <c r="H32" s="106"/>
      <c r="I32" s="106"/>
      <c r="J32" s="90"/>
      <c r="K32" s="93"/>
      <c r="L32" s="95"/>
      <c r="M32" s="220" t="s">
        <v>118</v>
      </c>
      <c r="N32" s="211" t="str">
        <f t="shared" si="0"/>
        <v>N</v>
      </c>
    </row>
    <row r="33" spans="1:14" x14ac:dyDescent="0.2">
      <c r="A33" s="95"/>
      <c r="B33" s="90"/>
      <c r="C33" s="90"/>
      <c r="D33" s="90"/>
      <c r="E33" s="189"/>
      <c r="F33" s="90"/>
      <c r="G33" s="216"/>
      <c r="H33" s="106"/>
      <c r="I33" s="106"/>
      <c r="J33" s="90"/>
      <c r="K33" s="93"/>
      <c r="L33" s="95"/>
      <c r="M33" s="220" t="s">
        <v>118</v>
      </c>
      <c r="N33" s="211" t="str">
        <f t="shared" si="0"/>
        <v>N</v>
      </c>
    </row>
    <row r="34" spans="1:14" x14ac:dyDescent="0.2">
      <c r="A34" s="95"/>
      <c r="B34" s="90"/>
      <c r="C34" s="90"/>
      <c r="D34" s="93"/>
      <c r="E34" s="189"/>
      <c r="F34" s="90"/>
      <c r="G34" s="216"/>
      <c r="H34" s="106"/>
      <c r="I34" s="106"/>
      <c r="J34" s="90"/>
      <c r="K34" s="93"/>
      <c r="L34" s="95"/>
      <c r="M34" s="220" t="s">
        <v>118</v>
      </c>
      <c r="N34" s="211" t="str">
        <f t="shared" si="0"/>
        <v>N</v>
      </c>
    </row>
    <row r="35" spans="1:14" x14ac:dyDescent="0.2">
      <c r="A35" s="95"/>
      <c r="B35" s="90"/>
      <c r="C35" s="90"/>
      <c r="D35" s="90"/>
      <c r="E35" s="189"/>
      <c r="F35" s="90"/>
      <c r="G35" s="216"/>
      <c r="H35" s="106"/>
      <c r="I35" s="106"/>
      <c r="J35" s="90"/>
      <c r="K35" s="93"/>
      <c r="L35" s="95"/>
      <c r="M35" s="220" t="s">
        <v>118</v>
      </c>
      <c r="N35" s="211" t="str">
        <f t="shared" ref="N35:N65" si="1">_xlfn.CONCAT(LEFT(A35,1)&amp;K35&amp;LEFT(L35,3)&amp;LEFT(M35,1))</f>
        <v>N</v>
      </c>
    </row>
    <row r="36" spans="1:14" x14ac:dyDescent="0.2">
      <c r="A36" s="95"/>
      <c r="B36" s="90"/>
      <c r="C36" s="90"/>
      <c r="D36" s="93"/>
      <c r="E36" s="189"/>
      <c r="F36" s="90"/>
      <c r="G36" s="216"/>
      <c r="H36" s="106"/>
      <c r="I36" s="106"/>
      <c r="J36" s="90"/>
      <c r="K36" s="93"/>
      <c r="L36" s="95"/>
      <c r="M36" s="220" t="s">
        <v>118</v>
      </c>
      <c r="N36" s="211" t="str">
        <f t="shared" si="1"/>
        <v>N</v>
      </c>
    </row>
    <row r="37" spans="1:14" x14ac:dyDescent="0.2">
      <c r="A37" s="94"/>
      <c r="B37" s="90"/>
      <c r="C37" s="93"/>
      <c r="D37" s="93"/>
      <c r="E37" s="189"/>
      <c r="F37" s="90"/>
      <c r="G37" s="216"/>
      <c r="H37" s="106"/>
      <c r="I37" s="107"/>
      <c r="J37" s="90"/>
      <c r="K37" s="93"/>
      <c r="L37" s="95"/>
      <c r="M37" s="220" t="s">
        <v>118</v>
      </c>
      <c r="N37" s="211" t="str">
        <f t="shared" si="1"/>
        <v>N</v>
      </c>
    </row>
    <row r="38" spans="1:14" x14ac:dyDescent="0.2">
      <c r="A38" s="94"/>
      <c r="B38" s="90"/>
      <c r="C38" s="93"/>
      <c r="D38" s="93"/>
      <c r="E38" s="189"/>
      <c r="F38" s="90"/>
      <c r="G38" s="216"/>
      <c r="H38" s="106"/>
      <c r="I38" s="106"/>
      <c r="J38" s="90"/>
      <c r="K38" s="93"/>
      <c r="L38" s="95"/>
      <c r="M38" s="220" t="s">
        <v>118</v>
      </c>
      <c r="N38" s="211" t="str">
        <f t="shared" si="1"/>
        <v>N</v>
      </c>
    </row>
    <row r="39" spans="1:14" x14ac:dyDescent="0.2">
      <c r="A39" s="94"/>
      <c r="B39" s="90"/>
      <c r="C39" s="93"/>
      <c r="D39" s="93"/>
      <c r="E39" s="189"/>
      <c r="F39" s="90"/>
      <c r="G39" s="216"/>
      <c r="H39" s="106"/>
      <c r="I39" s="107"/>
      <c r="J39" s="90"/>
      <c r="K39" s="93"/>
      <c r="L39" s="95"/>
      <c r="M39" s="220" t="s">
        <v>118</v>
      </c>
      <c r="N39" s="211" t="str">
        <f t="shared" si="1"/>
        <v>N</v>
      </c>
    </row>
    <row r="40" spans="1:14" x14ac:dyDescent="0.2">
      <c r="A40" s="94"/>
      <c r="B40" s="90"/>
      <c r="C40" s="93"/>
      <c r="D40" s="93"/>
      <c r="E40" s="189"/>
      <c r="F40" s="90"/>
      <c r="G40" s="216"/>
      <c r="H40" s="106"/>
      <c r="I40" s="106"/>
      <c r="J40" s="90"/>
      <c r="K40" s="93"/>
      <c r="L40" s="95"/>
      <c r="M40" s="220" t="s">
        <v>118</v>
      </c>
      <c r="N40" s="211" t="str">
        <f t="shared" si="1"/>
        <v>N</v>
      </c>
    </row>
    <row r="41" spans="1:14" x14ac:dyDescent="0.2">
      <c r="A41" s="94"/>
      <c r="B41" s="90"/>
      <c r="C41" s="93"/>
      <c r="D41" s="93"/>
      <c r="E41" s="189"/>
      <c r="F41" s="90"/>
      <c r="G41" s="216"/>
      <c r="H41" s="106"/>
      <c r="I41" s="107"/>
      <c r="J41" s="90"/>
      <c r="K41" s="93"/>
      <c r="L41" s="95"/>
      <c r="M41" s="220" t="s">
        <v>118</v>
      </c>
      <c r="N41" s="211" t="str">
        <f t="shared" si="1"/>
        <v>N</v>
      </c>
    </row>
    <row r="42" spans="1:14" x14ac:dyDescent="0.2">
      <c r="A42" s="94"/>
      <c r="B42" s="90"/>
      <c r="C42" s="93"/>
      <c r="D42" s="93"/>
      <c r="E42" s="189"/>
      <c r="F42" s="90"/>
      <c r="G42" s="216"/>
      <c r="H42" s="106"/>
      <c r="I42" s="106"/>
      <c r="J42" s="90"/>
      <c r="K42" s="93"/>
      <c r="L42" s="95"/>
      <c r="M42" s="220" t="s">
        <v>118</v>
      </c>
      <c r="N42" s="211" t="str">
        <f t="shared" si="1"/>
        <v>N</v>
      </c>
    </row>
    <row r="43" spans="1:14" x14ac:dyDescent="0.2">
      <c r="A43" s="95"/>
      <c r="B43" s="90"/>
      <c r="C43" s="90"/>
      <c r="D43" s="90"/>
      <c r="E43" s="189"/>
      <c r="F43" s="90"/>
      <c r="G43" s="216"/>
      <c r="H43" s="106"/>
      <c r="I43" s="106"/>
      <c r="J43" s="90"/>
      <c r="K43" s="93"/>
      <c r="L43" s="95"/>
      <c r="M43" s="220" t="s">
        <v>118</v>
      </c>
      <c r="N43" s="211" t="str">
        <f t="shared" si="1"/>
        <v>N</v>
      </c>
    </row>
    <row r="44" spans="1:14" x14ac:dyDescent="0.2">
      <c r="A44" s="95"/>
      <c r="B44" s="90"/>
      <c r="C44" s="90"/>
      <c r="D44" s="90"/>
      <c r="E44" s="189"/>
      <c r="F44" s="90"/>
      <c r="G44" s="216"/>
      <c r="H44" s="106"/>
      <c r="I44" s="106"/>
      <c r="J44" s="90"/>
      <c r="K44" s="93"/>
      <c r="L44" s="95"/>
      <c r="M44" s="220" t="s">
        <v>118</v>
      </c>
      <c r="N44" s="211" t="str">
        <f t="shared" si="1"/>
        <v>N</v>
      </c>
    </row>
    <row r="45" spans="1:14" x14ac:dyDescent="0.2">
      <c r="A45" s="95"/>
      <c r="B45" s="90"/>
      <c r="C45" s="90"/>
      <c r="D45" s="90"/>
      <c r="E45" s="189"/>
      <c r="F45" s="90"/>
      <c r="G45" s="216"/>
      <c r="H45" s="106"/>
      <c r="I45" s="106"/>
      <c r="J45" s="90"/>
      <c r="K45" s="93"/>
      <c r="L45" s="95"/>
      <c r="M45" s="220" t="s">
        <v>118</v>
      </c>
      <c r="N45" s="211" t="str">
        <f t="shared" si="1"/>
        <v>N</v>
      </c>
    </row>
    <row r="46" spans="1:14" x14ac:dyDescent="0.2">
      <c r="A46" s="95"/>
      <c r="B46" s="90"/>
      <c r="C46" s="90"/>
      <c r="D46" s="90"/>
      <c r="E46" s="189"/>
      <c r="F46" s="90"/>
      <c r="G46" s="216"/>
      <c r="H46" s="106"/>
      <c r="I46" s="106"/>
      <c r="J46" s="90"/>
      <c r="K46" s="93"/>
      <c r="L46" s="95"/>
      <c r="M46" s="220" t="s">
        <v>118</v>
      </c>
      <c r="N46" s="211" t="str">
        <f t="shared" si="1"/>
        <v>N</v>
      </c>
    </row>
    <row r="47" spans="1:14" x14ac:dyDescent="0.2">
      <c r="A47" s="95"/>
      <c r="B47" s="90"/>
      <c r="C47" s="90"/>
      <c r="D47" s="90"/>
      <c r="E47" s="189"/>
      <c r="F47" s="90"/>
      <c r="G47" s="216"/>
      <c r="H47" s="106"/>
      <c r="I47" s="106"/>
      <c r="J47" s="90"/>
      <c r="K47" s="93"/>
      <c r="L47" s="95"/>
      <c r="M47" s="220" t="s">
        <v>118</v>
      </c>
      <c r="N47" s="211" t="str">
        <f t="shared" si="1"/>
        <v>N</v>
      </c>
    </row>
    <row r="48" spans="1:14" x14ac:dyDescent="0.2">
      <c r="A48" s="95"/>
      <c r="B48" s="90"/>
      <c r="C48" s="90"/>
      <c r="D48" s="90"/>
      <c r="E48" s="189"/>
      <c r="F48" s="90"/>
      <c r="G48" s="216"/>
      <c r="H48" s="106"/>
      <c r="I48" s="106"/>
      <c r="J48" s="90"/>
      <c r="K48" s="93"/>
      <c r="L48" s="95"/>
      <c r="M48" s="220" t="s">
        <v>118</v>
      </c>
      <c r="N48" s="211" t="str">
        <f t="shared" si="1"/>
        <v>N</v>
      </c>
    </row>
    <row r="49" spans="1:14" x14ac:dyDescent="0.2">
      <c r="A49" s="95"/>
      <c r="B49" s="90"/>
      <c r="C49" s="90"/>
      <c r="D49" s="93"/>
      <c r="E49" s="189"/>
      <c r="F49" s="90"/>
      <c r="G49" s="216"/>
      <c r="H49" s="106"/>
      <c r="I49" s="106"/>
      <c r="J49" s="90"/>
      <c r="K49" s="93"/>
      <c r="L49" s="95"/>
      <c r="M49" s="220" t="s">
        <v>118</v>
      </c>
      <c r="N49" s="211" t="str">
        <f t="shared" si="1"/>
        <v>N</v>
      </c>
    </row>
    <row r="50" spans="1:14" x14ac:dyDescent="0.2">
      <c r="A50" s="95"/>
      <c r="B50" s="90"/>
      <c r="C50" s="90"/>
      <c r="D50" s="93"/>
      <c r="E50" s="189"/>
      <c r="F50" s="90"/>
      <c r="G50" s="216"/>
      <c r="H50" s="106"/>
      <c r="I50" s="106"/>
      <c r="J50" s="90"/>
      <c r="K50" s="93"/>
      <c r="L50" s="95"/>
      <c r="M50" s="220" t="s">
        <v>118</v>
      </c>
      <c r="N50" s="211" t="str">
        <f t="shared" si="1"/>
        <v>N</v>
      </c>
    </row>
    <row r="51" spans="1:14" x14ac:dyDescent="0.2">
      <c r="A51" s="95"/>
      <c r="B51" s="90"/>
      <c r="C51" s="90"/>
      <c r="D51" s="93"/>
      <c r="E51" s="189"/>
      <c r="F51" s="90"/>
      <c r="G51" s="216"/>
      <c r="H51" s="106"/>
      <c r="I51" s="106"/>
      <c r="J51" s="90"/>
      <c r="K51" s="93"/>
      <c r="L51" s="95"/>
      <c r="M51" s="220" t="s">
        <v>118</v>
      </c>
      <c r="N51" s="211" t="str">
        <f t="shared" si="1"/>
        <v>N</v>
      </c>
    </row>
    <row r="52" spans="1:14" x14ac:dyDescent="0.2">
      <c r="A52" s="95"/>
      <c r="B52" s="90"/>
      <c r="C52" s="90"/>
      <c r="D52" s="93"/>
      <c r="E52" s="189"/>
      <c r="F52" s="90"/>
      <c r="G52" s="216"/>
      <c r="H52" s="106"/>
      <c r="I52" s="106"/>
      <c r="J52" s="90"/>
      <c r="K52" s="93"/>
      <c r="L52" s="95"/>
      <c r="M52" s="220" t="s">
        <v>118</v>
      </c>
      <c r="N52" s="211" t="str">
        <f t="shared" si="1"/>
        <v>N</v>
      </c>
    </row>
    <row r="53" spans="1:14" x14ac:dyDescent="0.2">
      <c r="A53" s="95"/>
      <c r="B53" s="90"/>
      <c r="C53" s="90"/>
      <c r="D53" s="93"/>
      <c r="E53" s="189"/>
      <c r="F53" s="90"/>
      <c r="G53" s="216"/>
      <c r="H53" s="106"/>
      <c r="I53" s="106"/>
      <c r="J53" s="90"/>
      <c r="K53" s="93"/>
      <c r="L53" s="95"/>
      <c r="M53" s="220" t="s">
        <v>118</v>
      </c>
      <c r="N53" s="211" t="str">
        <f t="shared" si="1"/>
        <v>N</v>
      </c>
    </row>
    <row r="54" spans="1:14" x14ac:dyDescent="0.2">
      <c r="A54" s="95"/>
      <c r="B54" s="90"/>
      <c r="C54" s="90"/>
      <c r="D54" s="93"/>
      <c r="E54" s="189"/>
      <c r="F54" s="90"/>
      <c r="G54" s="216"/>
      <c r="H54" s="106"/>
      <c r="I54" s="106"/>
      <c r="J54" s="90"/>
      <c r="K54" s="93"/>
      <c r="L54" s="95"/>
      <c r="M54" s="220" t="s">
        <v>118</v>
      </c>
      <c r="N54" s="211" t="str">
        <f t="shared" si="1"/>
        <v>N</v>
      </c>
    </row>
    <row r="55" spans="1:14" x14ac:dyDescent="0.2">
      <c r="A55" s="95"/>
      <c r="B55" s="90"/>
      <c r="C55" s="90"/>
      <c r="D55" s="93"/>
      <c r="E55" s="189"/>
      <c r="F55" s="90"/>
      <c r="G55" s="216"/>
      <c r="H55" s="106"/>
      <c r="I55" s="106"/>
      <c r="J55" s="90"/>
      <c r="K55" s="93"/>
      <c r="L55" s="95"/>
      <c r="M55" s="220" t="s">
        <v>118</v>
      </c>
      <c r="N55" s="211" t="str">
        <f t="shared" si="1"/>
        <v>N</v>
      </c>
    </row>
    <row r="56" spans="1:14" x14ac:dyDescent="0.2">
      <c r="A56" s="95"/>
      <c r="B56" s="90"/>
      <c r="C56" s="90"/>
      <c r="D56" s="93"/>
      <c r="E56" s="189"/>
      <c r="F56" s="90"/>
      <c r="G56" s="216"/>
      <c r="H56" s="106"/>
      <c r="I56" s="106"/>
      <c r="J56" s="90"/>
      <c r="K56" s="93"/>
      <c r="L56" s="95"/>
      <c r="M56" s="220" t="s">
        <v>118</v>
      </c>
      <c r="N56" s="211" t="str">
        <f t="shared" si="1"/>
        <v>N</v>
      </c>
    </row>
    <row r="57" spans="1:14" x14ac:dyDescent="0.2">
      <c r="A57" s="95"/>
      <c r="B57" s="90"/>
      <c r="C57" s="90"/>
      <c r="D57" s="90"/>
      <c r="E57" s="189"/>
      <c r="F57" s="90"/>
      <c r="G57" s="216"/>
      <c r="H57" s="106"/>
      <c r="I57" s="106"/>
      <c r="J57" s="90"/>
      <c r="K57" s="93"/>
      <c r="L57" s="95"/>
      <c r="M57" s="220" t="s">
        <v>118</v>
      </c>
      <c r="N57" s="211" t="str">
        <f t="shared" si="1"/>
        <v>N</v>
      </c>
    </row>
    <row r="58" spans="1:14" x14ac:dyDescent="0.2">
      <c r="A58" s="93"/>
      <c r="B58" s="214"/>
      <c r="C58" s="93"/>
      <c r="D58" s="93"/>
      <c r="E58" s="189"/>
      <c r="F58" s="90"/>
      <c r="G58" s="111"/>
      <c r="H58" s="106"/>
      <c r="I58" s="107"/>
      <c r="J58" s="90"/>
      <c r="K58" s="93"/>
      <c r="L58" s="95"/>
      <c r="M58" s="220" t="s">
        <v>118</v>
      </c>
      <c r="N58" s="211" t="str">
        <f t="shared" si="1"/>
        <v>N</v>
      </c>
    </row>
    <row r="59" spans="1:14" x14ac:dyDescent="0.2">
      <c r="A59" s="93"/>
      <c r="B59" s="214"/>
      <c r="C59" s="93"/>
      <c r="D59" s="93"/>
      <c r="E59" s="189"/>
      <c r="F59" s="90"/>
      <c r="G59" s="111"/>
      <c r="H59" s="106"/>
      <c r="I59" s="106"/>
      <c r="J59" s="90"/>
      <c r="K59" s="93"/>
      <c r="L59" s="95"/>
      <c r="M59" s="220" t="s">
        <v>118</v>
      </c>
      <c r="N59" s="211" t="str">
        <f t="shared" si="1"/>
        <v>N</v>
      </c>
    </row>
    <row r="60" spans="1:14" x14ac:dyDescent="0.2">
      <c r="A60" s="93"/>
      <c r="B60" s="214"/>
      <c r="C60" s="93"/>
      <c r="D60" s="93"/>
      <c r="E60" s="189"/>
      <c r="F60" s="90"/>
      <c r="G60" s="111"/>
      <c r="H60" s="106"/>
      <c r="I60" s="107"/>
      <c r="J60" s="90"/>
      <c r="K60" s="93"/>
      <c r="L60" s="95"/>
      <c r="M60" s="220" t="s">
        <v>118</v>
      </c>
      <c r="N60" s="211" t="str">
        <f t="shared" si="1"/>
        <v>N</v>
      </c>
    </row>
    <row r="61" spans="1:14" x14ac:dyDescent="0.2">
      <c r="A61" s="93"/>
      <c r="B61" s="214"/>
      <c r="C61" s="93"/>
      <c r="D61" s="93"/>
      <c r="E61" s="189"/>
      <c r="F61" s="90"/>
      <c r="G61" s="111"/>
      <c r="H61" s="106"/>
      <c r="I61" s="106"/>
      <c r="J61" s="90"/>
      <c r="K61" s="93"/>
      <c r="L61" s="95"/>
      <c r="M61" s="220" t="s">
        <v>118</v>
      </c>
      <c r="N61" s="211" t="str">
        <f t="shared" si="1"/>
        <v>N</v>
      </c>
    </row>
    <row r="62" spans="1:14" x14ac:dyDescent="0.2">
      <c r="A62" s="93"/>
      <c r="B62" s="214"/>
      <c r="C62" s="93"/>
      <c r="D62" s="93"/>
      <c r="E62" s="190"/>
      <c r="F62" s="90"/>
      <c r="G62" s="112"/>
      <c r="H62" s="107"/>
      <c r="I62" s="107"/>
      <c r="J62" s="90"/>
      <c r="K62" s="93"/>
      <c r="L62" s="95"/>
      <c r="M62" s="220" t="s">
        <v>118</v>
      </c>
      <c r="N62" s="211" t="str">
        <f t="shared" si="1"/>
        <v>N</v>
      </c>
    </row>
    <row r="63" spans="1:14" x14ac:dyDescent="0.2">
      <c r="A63" s="93"/>
      <c r="B63" s="214"/>
      <c r="C63" s="93"/>
      <c r="D63" s="93"/>
      <c r="E63" s="189"/>
      <c r="F63" s="90"/>
      <c r="G63" s="111"/>
      <c r="H63" s="106"/>
      <c r="I63" s="107"/>
      <c r="J63" s="90"/>
      <c r="K63" s="93"/>
      <c r="L63" s="95"/>
      <c r="M63" s="220" t="s">
        <v>118</v>
      </c>
      <c r="N63" s="211" t="str">
        <f t="shared" si="1"/>
        <v>N</v>
      </c>
    </row>
    <row r="64" spans="1:14" x14ac:dyDescent="0.2">
      <c r="A64" s="93"/>
      <c r="B64" s="214"/>
      <c r="C64" s="93"/>
      <c r="D64" s="93"/>
      <c r="E64" s="189"/>
      <c r="F64" s="90"/>
      <c r="G64" s="111"/>
      <c r="H64" s="106"/>
      <c r="I64" s="107"/>
      <c r="J64" s="90"/>
      <c r="K64" s="93"/>
      <c r="L64" s="95"/>
      <c r="M64" s="220" t="s">
        <v>118</v>
      </c>
      <c r="N64" s="211" t="str">
        <f t="shared" si="1"/>
        <v>N</v>
      </c>
    </row>
    <row r="65" spans="1:14" x14ac:dyDescent="0.2">
      <c r="A65" s="93"/>
      <c r="B65" s="214"/>
      <c r="C65" s="93"/>
      <c r="D65" s="93"/>
      <c r="E65" s="189"/>
      <c r="F65" s="90"/>
      <c r="G65" s="111"/>
      <c r="H65" s="106"/>
      <c r="I65" s="107"/>
      <c r="J65" s="90"/>
      <c r="K65" s="93"/>
      <c r="L65" s="95"/>
      <c r="M65" s="220" t="s">
        <v>118</v>
      </c>
      <c r="N65" s="211" t="str">
        <f t="shared" si="1"/>
        <v>N</v>
      </c>
    </row>
    <row r="66" spans="1:14" x14ac:dyDescent="0.2">
      <c r="A66" s="93"/>
      <c r="B66" s="214"/>
      <c r="C66" s="93"/>
      <c r="D66" s="93"/>
      <c r="E66" s="189"/>
      <c r="F66" s="90"/>
      <c r="G66" s="111"/>
      <c r="H66" s="106"/>
      <c r="I66" s="107"/>
      <c r="J66" s="90"/>
      <c r="K66" s="93"/>
      <c r="L66" s="95"/>
      <c r="M66" s="220" t="s">
        <v>118</v>
      </c>
      <c r="N66" s="211" t="s">
        <v>119</v>
      </c>
    </row>
    <row r="67" spans="1:14" x14ac:dyDescent="0.2">
      <c r="A67" s="93"/>
      <c r="B67" s="214"/>
      <c r="C67" s="93"/>
      <c r="D67" s="93"/>
      <c r="E67" s="189"/>
      <c r="F67" s="90"/>
      <c r="G67" s="111"/>
      <c r="H67" s="106"/>
      <c r="I67" s="107"/>
      <c r="J67" s="90"/>
      <c r="K67" s="93"/>
      <c r="L67" s="95"/>
      <c r="M67" s="220" t="s">
        <v>118</v>
      </c>
      <c r="N67" s="211" t="str">
        <f t="shared" ref="N67:N110" si="2">_xlfn.CONCAT(LEFT(A67,1)&amp;K67&amp;LEFT(L67,3)&amp;LEFT(M67,1))</f>
        <v>N</v>
      </c>
    </row>
    <row r="68" spans="1:14" x14ac:dyDescent="0.2">
      <c r="A68" s="95"/>
      <c r="B68" s="214"/>
      <c r="C68" s="90"/>
      <c r="D68" s="90"/>
      <c r="E68" s="186"/>
      <c r="F68" s="94"/>
      <c r="G68" s="110"/>
      <c r="H68" s="105"/>
      <c r="I68" s="105"/>
      <c r="J68" s="95"/>
      <c r="K68" s="94"/>
      <c r="L68" s="95"/>
      <c r="M68" s="220" t="s">
        <v>118</v>
      </c>
      <c r="N68" s="211" t="str">
        <f t="shared" si="2"/>
        <v>N</v>
      </c>
    </row>
    <row r="69" spans="1:14" x14ac:dyDescent="0.2">
      <c r="A69" s="95"/>
      <c r="B69" s="214"/>
      <c r="C69" s="90"/>
      <c r="D69" s="90"/>
      <c r="E69" s="186"/>
      <c r="F69" s="94"/>
      <c r="G69" s="110"/>
      <c r="H69" s="105"/>
      <c r="I69" s="105"/>
      <c r="J69" s="95"/>
      <c r="K69" s="94"/>
      <c r="L69" s="95"/>
      <c r="M69" s="220" t="s">
        <v>118</v>
      </c>
      <c r="N69" s="211" t="str">
        <f t="shared" si="2"/>
        <v>N</v>
      </c>
    </row>
    <row r="70" spans="1:14" x14ac:dyDescent="0.2">
      <c r="A70" s="94"/>
      <c r="B70" s="214"/>
      <c r="C70" s="93"/>
      <c r="D70" s="93"/>
      <c r="E70" s="187"/>
      <c r="F70" s="95"/>
      <c r="G70" s="110"/>
      <c r="H70" s="105"/>
      <c r="I70" s="105"/>
      <c r="J70" s="95"/>
      <c r="K70" s="94"/>
      <c r="L70" s="95"/>
      <c r="M70" s="220" t="s">
        <v>118</v>
      </c>
      <c r="N70" s="211" t="str">
        <f t="shared" si="2"/>
        <v>N</v>
      </c>
    </row>
    <row r="71" spans="1:14" x14ac:dyDescent="0.2">
      <c r="A71" s="94"/>
      <c r="B71" s="214"/>
      <c r="C71" s="93"/>
      <c r="D71" s="93"/>
      <c r="E71" s="187"/>
      <c r="F71" s="95"/>
      <c r="G71" s="110"/>
      <c r="H71" s="105"/>
      <c r="I71" s="105"/>
      <c r="J71" s="95"/>
      <c r="K71" s="94"/>
      <c r="L71" s="95"/>
      <c r="M71" s="220" t="s">
        <v>118</v>
      </c>
      <c r="N71" s="211" t="str">
        <f t="shared" si="2"/>
        <v>N</v>
      </c>
    </row>
    <row r="72" spans="1:14" x14ac:dyDescent="0.2">
      <c r="A72" s="95"/>
      <c r="B72" s="214"/>
      <c r="C72" s="90"/>
      <c r="D72" s="90"/>
      <c r="E72" s="186"/>
      <c r="F72" s="95"/>
      <c r="G72" s="110"/>
      <c r="H72" s="105"/>
      <c r="I72" s="105"/>
      <c r="J72" s="95"/>
      <c r="K72" s="94"/>
      <c r="L72" s="95"/>
      <c r="M72" s="220" t="s">
        <v>118</v>
      </c>
      <c r="N72" s="211" t="str">
        <f t="shared" si="2"/>
        <v>N</v>
      </c>
    </row>
    <row r="73" spans="1:14" x14ac:dyDescent="0.2">
      <c r="A73" s="95"/>
      <c r="B73" s="214"/>
      <c r="C73" s="90"/>
      <c r="D73" s="90"/>
      <c r="E73" s="186"/>
      <c r="F73" s="95"/>
      <c r="G73" s="110"/>
      <c r="H73" s="105"/>
      <c r="I73" s="105"/>
      <c r="J73" s="95"/>
      <c r="K73" s="94"/>
      <c r="L73" s="95"/>
      <c r="M73" s="220" t="s">
        <v>118</v>
      </c>
      <c r="N73" s="211" t="str">
        <f t="shared" si="2"/>
        <v>N</v>
      </c>
    </row>
    <row r="74" spans="1:14" x14ac:dyDescent="0.2">
      <c r="A74" s="95"/>
      <c r="B74" s="214"/>
      <c r="C74" s="90"/>
      <c r="D74" s="90"/>
      <c r="E74" s="186"/>
      <c r="F74" s="95"/>
      <c r="G74" s="110"/>
      <c r="H74" s="105"/>
      <c r="I74" s="105"/>
      <c r="J74" s="95"/>
      <c r="K74" s="94"/>
      <c r="L74" s="95"/>
      <c r="M74" s="220" t="s">
        <v>118</v>
      </c>
      <c r="N74" s="211" t="str">
        <f t="shared" si="2"/>
        <v>N</v>
      </c>
    </row>
    <row r="75" spans="1:14" x14ac:dyDescent="0.2">
      <c r="A75" s="95"/>
      <c r="B75" s="214"/>
      <c r="C75" s="90"/>
      <c r="D75" s="93"/>
      <c r="E75" s="186"/>
      <c r="F75" s="95"/>
      <c r="G75" s="110"/>
      <c r="H75" s="105"/>
      <c r="I75" s="105"/>
      <c r="J75" s="95"/>
      <c r="K75" s="94"/>
      <c r="L75" s="95"/>
      <c r="M75" s="220" t="s">
        <v>118</v>
      </c>
      <c r="N75" s="211" t="str">
        <f t="shared" si="2"/>
        <v>N</v>
      </c>
    </row>
    <row r="76" spans="1:14" x14ac:dyDescent="0.2">
      <c r="A76" s="94"/>
      <c r="B76" s="214"/>
      <c r="C76" s="90"/>
      <c r="D76" s="90"/>
      <c r="E76" s="186"/>
      <c r="F76" s="94"/>
      <c r="G76" s="110"/>
      <c r="H76" s="105"/>
      <c r="I76" s="105"/>
      <c r="J76" s="95"/>
      <c r="K76" s="94"/>
      <c r="L76" s="95"/>
      <c r="M76" s="220" t="s">
        <v>118</v>
      </c>
      <c r="N76" s="211" t="str">
        <f t="shared" si="2"/>
        <v>N</v>
      </c>
    </row>
    <row r="77" spans="1:14" x14ac:dyDescent="0.2">
      <c r="A77" s="94"/>
      <c r="B77" s="214"/>
      <c r="C77" s="90"/>
      <c r="D77" s="90"/>
      <c r="E77" s="186"/>
      <c r="F77" s="95"/>
      <c r="G77" s="110"/>
      <c r="H77" s="105"/>
      <c r="I77" s="105"/>
      <c r="J77" s="95"/>
      <c r="K77" s="94"/>
      <c r="L77" s="95"/>
      <c r="M77" s="220" t="s">
        <v>118</v>
      </c>
      <c r="N77" s="211" t="str">
        <f t="shared" si="2"/>
        <v>N</v>
      </c>
    </row>
    <row r="78" spans="1:14" x14ac:dyDescent="0.2">
      <c r="A78" s="94"/>
      <c r="B78" s="214"/>
      <c r="C78" s="90"/>
      <c r="D78" s="90"/>
      <c r="E78" s="186"/>
      <c r="F78" s="95"/>
      <c r="G78" s="110"/>
      <c r="H78" s="105"/>
      <c r="I78" s="105"/>
      <c r="J78" s="95"/>
      <c r="K78" s="94"/>
      <c r="L78" s="95"/>
      <c r="M78" s="220" t="s">
        <v>118</v>
      </c>
      <c r="N78" s="211" t="str">
        <f t="shared" si="2"/>
        <v>N</v>
      </c>
    </row>
    <row r="79" spans="1:14" x14ac:dyDescent="0.2">
      <c r="A79" s="95"/>
      <c r="B79" s="214"/>
      <c r="C79" s="90"/>
      <c r="D79" s="90"/>
      <c r="E79" s="186"/>
      <c r="F79" s="95"/>
      <c r="G79" s="110"/>
      <c r="H79" s="105"/>
      <c r="I79" s="105"/>
      <c r="J79" s="95"/>
      <c r="K79" s="95"/>
      <c r="L79" s="95"/>
      <c r="M79" s="220" t="s">
        <v>118</v>
      </c>
      <c r="N79" s="211" t="str">
        <f t="shared" si="2"/>
        <v>N</v>
      </c>
    </row>
    <row r="80" spans="1:14" x14ac:dyDescent="0.2">
      <c r="A80" s="95"/>
      <c r="B80" s="214"/>
      <c r="C80" s="90"/>
      <c r="D80" s="90"/>
      <c r="E80" s="186"/>
      <c r="F80" s="95"/>
      <c r="G80" s="110"/>
      <c r="H80" s="105"/>
      <c r="I80" s="105"/>
      <c r="J80" s="95"/>
      <c r="K80" s="95"/>
      <c r="L80" s="95"/>
      <c r="M80" s="220" t="s">
        <v>118</v>
      </c>
      <c r="N80" s="211" t="str">
        <f t="shared" si="2"/>
        <v>N</v>
      </c>
    </row>
    <row r="81" spans="1:14" x14ac:dyDescent="0.2">
      <c r="A81" s="95"/>
      <c r="B81" s="214"/>
      <c r="C81" s="90"/>
      <c r="D81" s="90"/>
      <c r="E81" s="186"/>
      <c r="F81" s="95"/>
      <c r="G81" s="110"/>
      <c r="H81" s="105"/>
      <c r="I81" s="105"/>
      <c r="J81" s="95"/>
      <c r="K81" s="95"/>
      <c r="L81" s="95"/>
      <c r="M81" s="220" t="s">
        <v>118</v>
      </c>
      <c r="N81" s="211" t="str">
        <f t="shared" si="2"/>
        <v>N</v>
      </c>
    </row>
    <row r="82" spans="1:14" x14ac:dyDescent="0.2">
      <c r="A82" s="95"/>
      <c r="B82" s="214"/>
      <c r="C82" s="90"/>
      <c r="D82" s="90"/>
      <c r="E82" s="186"/>
      <c r="F82" s="95"/>
      <c r="G82" s="110"/>
      <c r="H82" s="105"/>
      <c r="I82" s="105"/>
      <c r="J82" s="95"/>
      <c r="K82" s="95"/>
      <c r="L82" s="95"/>
      <c r="M82" s="220" t="s">
        <v>118</v>
      </c>
      <c r="N82" s="211" t="str">
        <f t="shared" si="2"/>
        <v>N</v>
      </c>
    </row>
    <row r="83" spans="1:14" x14ac:dyDescent="0.2">
      <c r="A83" s="95"/>
      <c r="B83" s="214"/>
      <c r="C83" s="90"/>
      <c r="D83" s="90"/>
      <c r="E83" s="186"/>
      <c r="F83" s="95"/>
      <c r="G83" s="110"/>
      <c r="H83" s="105"/>
      <c r="I83" s="105"/>
      <c r="J83" s="95"/>
      <c r="K83" s="95"/>
      <c r="L83" s="95"/>
      <c r="M83" s="220" t="s">
        <v>118</v>
      </c>
      <c r="N83" s="211" t="str">
        <f t="shared" si="2"/>
        <v>N</v>
      </c>
    </row>
    <row r="84" spans="1:14" x14ac:dyDescent="0.2">
      <c r="A84" s="95"/>
      <c r="B84" s="214"/>
      <c r="C84" s="90"/>
      <c r="D84" s="90"/>
      <c r="E84" s="186"/>
      <c r="F84" s="95"/>
      <c r="G84" s="110"/>
      <c r="H84" s="105"/>
      <c r="I84" s="105"/>
      <c r="J84" s="95"/>
      <c r="K84" s="95"/>
      <c r="L84" s="95"/>
      <c r="M84" s="220" t="s">
        <v>118</v>
      </c>
      <c r="N84" s="211" t="str">
        <f t="shared" si="2"/>
        <v>N</v>
      </c>
    </row>
    <row r="85" spans="1:14" x14ac:dyDescent="0.2">
      <c r="A85" s="95"/>
      <c r="B85" s="214"/>
      <c r="C85" s="90"/>
      <c r="D85" s="90"/>
      <c r="E85" s="186"/>
      <c r="F85" s="95"/>
      <c r="G85" s="110"/>
      <c r="H85" s="105"/>
      <c r="I85" s="105"/>
      <c r="J85" s="95"/>
      <c r="K85" s="95"/>
      <c r="L85" s="95"/>
      <c r="M85" s="220" t="s">
        <v>118</v>
      </c>
      <c r="N85" s="211" t="str">
        <f t="shared" si="2"/>
        <v>N</v>
      </c>
    </row>
    <row r="86" spans="1:14" x14ac:dyDescent="0.2">
      <c r="A86" s="95"/>
      <c r="B86" s="214"/>
      <c r="C86" s="90"/>
      <c r="D86" s="90"/>
      <c r="E86" s="186"/>
      <c r="F86" s="95"/>
      <c r="G86" s="110"/>
      <c r="H86" s="105"/>
      <c r="I86" s="105"/>
      <c r="J86" s="95"/>
      <c r="K86" s="95"/>
      <c r="L86" s="95"/>
      <c r="M86" s="220" t="s">
        <v>118</v>
      </c>
      <c r="N86" s="211" t="str">
        <f t="shared" si="2"/>
        <v>N</v>
      </c>
    </row>
    <row r="87" spans="1:14" x14ac:dyDescent="0.2">
      <c r="A87" s="95"/>
      <c r="B87" s="214"/>
      <c r="C87" s="90"/>
      <c r="D87" s="90"/>
      <c r="E87" s="186"/>
      <c r="F87" s="95"/>
      <c r="G87" s="110"/>
      <c r="H87" s="105"/>
      <c r="I87" s="105"/>
      <c r="J87" s="95"/>
      <c r="K87" s="95"/>
      <c r="L87" s="95"/>
      <c r="M87" s="220" t="s">
        <v>118</v>
      </c>
      <c r="N87" s="211" t="str">
        <f t="shared" si="2"/>
        <v>N</v>
      </c>
    </row>
    <row r="88" spans="1:14" x14ac:dyDescent="0.2">
      <c r="A88" s="95"/>
      <c r="B88" s="214"/>
      <c r="C88" s="90"/>
      <c r="D88" s="90"/>
      <c r="E88" s="186"/>
      <c r="F88" s="95"/>
      <c r="G88" s="110"/>
      <c r="H88" s="105"/>
      <c r="I88" s="105"/>
      <c r="J88" s="95"/>
      <c r="K88" s="95"/>
      <c r="L88" s="95"/>
      <c r="M88" s="220" t="s">
        <v>118</v>
      </c>
      <c r="N88" s="211" t="str">
        <f t="shared" si="2"/>
        <v>N</v>
      </c>
    </row>
    <row r="89" spans="1:14" x14ac:dyDescent="0.2">
      <c r="A89" s="95"/>
      <c r="B89" s="214"/>
      <c r="C89" s="90"/>
      <c r="D89" s="90"/>
      <c r="E89" s="186"/>
      <c r="F89" s="95"/>
      <c r="G89" s="110"/>
      <c r="H89" s="105"/>
      <c r="I89" s="105"/>
      <c r="J89" s="95"/>
      <c r="K89" s="95"/>
      <c r="L89" s="95"/>
      <c r="M89" s="220" t="s">
        <v>118</v>
      </c>
      <c r="N89" s="211" t="str">
        <f t="shared" si="2"/>
        <v>N</v>
      </c>
    </row>
    <row r="90" spans="1:14" x14ac:dyDescent="0.2">
      <c r="A90" s="95"/>
      <c r="B90" s="214"/>
      <c r="C90" s="90"/>
      <c r="D90" s="90"/>
      <c r="E90" s="186"/>
      <c r="F90" s="95"/>
      <c r="G90" s="110"/>
      <c r="H90" s="105"/>
      <c r="I90" s="105"/>
      <c r="J90" s="95"/>
      <c r="K90" s="95"/>
      <c r="L90" s="95"/>
      <c r="M90" s="220" t="s">
        <v>118</v>
      </c>
      <c r="N90" s="211" t="str">
        <f t="shared" si="2"/>
        <v>N</v>
      </c>
    </row>
    <row r="91" spans="1:14" x14ac:dyDescent="0.2">
      <c r="A91" s="95"/>
      <c r="B91" s="90"/>
      <c r="C91" s="90"/>
      <c r="D91" s="90"/>
      <c r="E91" s="186"/>
      <c r="F91" s="95"/>
      <c r="G91" s="110"/>
      <c r="H91" s="105"/>
      <c r="I91" s="105"/>
      <c r="J91" s="95"/>
      <c r="K91" s="95"/>
      <c r="L91" s="95"/>
      <c r="M91" s="220" t="s">
        <v>118</v>
      </c>
      <c r="N91" s="211" t="str">
        <f t="shared" si="2"/>
        <v>N</v>
      </c>
    </row>
    <row r="92" spans="1:14" x14ac:dyDescent="0.2">
      <c r="A92" s="95"/>
      <c r="B92" s="90"/>
      <c r="C92" s="90"/>
      <c r="D92" s="90"/>
      <c r="E92" s="186"/>
      <c r="F92" s="95"/>
      <c r="G92" s="110"/>
      <c r="H92" s="105"/>
      <c r="I92" s="105"/>
      <c r="J92" s="95"/>
      <c r="K92" s="95"/>
      <c r="L92" s="95"/>
      <c r="M92" s="220" t="s">
        <v>118</v>
      </c>
      <c r="N92" s="211" t="str">
        <f t="shared" si="2"/>
        <v>N</v>
      </c>
    </row>
    <row r="93" spans="1:14" x14ac:dyDescent="0.2">
      <c r="A93" s="95"/>
      <c r="B93" s="90"/>
      <c r="C93" s="90"/>
      <c r="D93" s="90"/>
      <c r="E93" s="186"/>
      <c r="F93" s="95"/>
      <c r="G93" s="110"/>
      <c r="H93" s="105"/>
      <c r="I93" s="105"/>
      <c r="J93" s="95"/>
      <c r="K93" s="95"/>
      <c r="L93" s="95"/>
      <c r="M93" s="220" t="s">
        <v>118</v>
      </c>
      <c r="N93" s="211" t="str">
        <f t="shared" si="2"/>
        <v>N</v>
      </c>
    </row>
    <row r="94" spans="1:14" x14ac:dyDescent="0.2">
      <c r="A94" s="95"/>
      <c r="B94" s="90"/>
      <c r="C94" s="90"/>
      <c r="D94" s="90"/>
      <c r="E94" s="186"/>
      <c r="F94" s="95"/>
      <c r="G94" s="110"/>
      <c r="H94" s="105"/>
      <c r="I94" s="105"/>
      <c r="J94" s="95"/>
      <c r="K94" s="95"/>
      <c r="L94" s="95"/>
      <c r="M94" s="220" t="s">
        <v>118</v>
      </c>
      <c r="N94" s="211" t="str">
        <f t="shared" si="2"/>
        <v>N</v>
      </c>
    </row>
    <row r="95" spans="1:14" x14ac:dyDescent="0.2">
      <c r="A95" s="95"/>
      <c r="B95" s="90"/>
      <c r="C95" s="90"/>
      <c r="D95" s="90"/>
      <c r="E95" s="186"/>
      <c r="F95" s="95"/>
      <c r="G95" s="110"/>
      <c r="H95" s="105"/>
      <c r="I95" s="105"/>
      <c r="J95" s="95"/>
      <c r="K95" s="95"/>
      <c r="L95" s="95"/>
      <c r="M95" s="220" t="s">
        <v>118</v>
      </c>
      <c r="N95" s="211" t="str">
        <f t="shared" si="2"/>
        <v>N</v>
      </c>
    </row>
    <row r="96" spans="1:14" x14ac:dyDescent="0.2">
      <c r="A96" s="95"/>
      <c r="B96" s="90"/>
      <c r="C96" s="90"/>
      <c r="D96" s="90"/>
      <c r="E96" s="186"/>
      <c r="F96" s="95"/>
      <c r="G96" s="110"/>
      <c r="H96" s="105"/>
      <c r="I96" s="105"/>
      <c r="J96" s="95"/>
      <c r="K96" s="95"/>
      <c r="L96" s="95"/>
      <c r="M96" s="220" t="s">
        <v>118</v>
      </c>
      <c r="N96" s="211" t="str">
        <f t="shared" si="2"/>
        <v>N</v>
      </c>
    </row>
    <row r="97" spans="1:14" x14ac:dyDescent="0.2">
      <c r="A97" s="95"/>
      <c r="B97" s="90"/>
      <c r="C97" s="90"/>
      <c r="D97" s="90"/>
      <c r="E97" s="186"/>
      <c r="F97" s="95"/>
      <c r="G97" s="110"/>
      <c r="H97" s="105"/>
      <c r="I97" s="105"/>
      <c r="J97" s="95"/>
      <c r="K97" s="95"/>
      <c r="L97" s="95"/>
      <c r="M97" s="220" t="s">
        <v>118</v>
      </c>
      <c r="N97" s="211" t="str">
        <f t="shared" si="2"/>
        <v>N</v>
      </c>
    </row>
    <row r="98" spans="1:14" x14ac:dyDescent="0.2">
      <c r="A98" s="95"/>
      <c r="B98" s="90"/>
      <c r="C98" s="90"/>
      <c r="D98" s="90"/>
      <c r="E98" s="186"/>
      <c r="F98" s="95"/>
      <c r="G98" s="110"/>
      <c r="H98" s="105"/>
      <c r="I98" s="105"/>
      <c r="J98" s="95"/>
      <c r="K98" s="95"/>
      <c r="L98" s="95"/>
      <c r="M98" s="220" t="s">
        <v>118</v>
      </c>
      <c r="N98" s="211" t="str">
        <f t="shared" si="2"/>
        <v>N</v>
      </c>
    </row>
    <row r="99" spans="1:14" x14ac:dyDescent="0.2">
      <c r="A99" s="95"/>
      <c r="B99" s="90"/>
      <c r="C99" s="90"/>
      <c r="D99" s="90"/>
      <c r="E99" s="186"/>
      <c r="F99" s="95"/>
      <c r="G99" s="110"/>
      <c r="H99" s="105"/>
      <c r="I99" s="105"/>
      <c r="J99" s="95"/>
      <c r="K99" s="95"/>
      <c r="L99" s="95"/>
      <c r="M99" s="220" t="s">
        <v>118</v>
      </c>
      <c r="N99" s="211" t="str">
        <f t="shared" si="2"/>
        <v>N</v>
      </c>
    </row>
    <row r="100" spans="1:14" x14ac:dyDescent="0.2">
      <c r="A100" s="95"/>
      <c r="B100" s="90"/>
      <c r="C100" s="90"/>
      <c r="D100" s="90"/>
      <c r="E100" s="187"/>
      <c r="F100" s="95"/>
      <c r="G100" s="110"/>
      <c r="H100" s="105"/>
      <c r="I100" s="105"/>
      <c r="J100" s="95"/>
      <c r="K100" s="95"/>
      <c r="L100" s="95"/>
      <c r="M100" s="220" t="s">
        <v>118</v>
      </c>
      <c r="N100" s="211" t="str">
        <f t="shared" si="2"/>
        <v>N</v>
      </c>
    </row>
    <row r="101" spans="1:14" x14ac:dyDescent="0.2">
      <c r="A101" s="95"/>
      <c r="B101" s="90"/>
      <c r="C101" s="90"/>
      <c r="D101" s="90"/>
      <c r="E101" s="186"/>
      <c r="F101" s="95"/>
      <c r="G101" s="110"/>
      <c r="H101" s="105"/>
      <c r="I101" s="105"/>
      <c r="J101" s="95"/>
      <c r="K101" s="95"/>
      <c r="L101" s="95"/>
      <c r="M101" s="220" t="s">
        <v>118</v>
      </c>
      <c r="N101" s="211" t="str">
        <f t="shared" si="2"/>
        <v>N</v>
      </c>
    </row>
    <row r="102" spans="1:14" x14ac:dyDescent="0.2">
      <c r="A102" s="95"/>
      <c r="B102" s="90"/>
      <c r="C102" s="90"/>
      <c r="D102" s="90"/>
      <c r="E102" s="186"/>
      <c r="F102" s="95"/>
      <c r="G102" s="110"/>
      <c r="H102" s="105"/>
      <c r="I102" s="105"/>
      <c r="J102" s="95"/>
      <c r="K102" s="95"/>
      <c r="L102" s="95"/>
      <c r="M102" s="220" t="s">
        <v>118</v>
      </c>
      <c r="N102" s="211" t="str">
        <f t="shared" si="2"/>
        <v>N</v>
      </c>
    </row>
    <row r="103" spans="1:14" x14ac:dyDescent="0.2">
      <c r="A103" s="95"/>
      <c r="B103" s="90"/>
      <c r="C103" s="90"/>
      <c r="D103" s="90"/>
      <c r="E103" s="186"/>
      <c r="F103" s="95"/>
      <c r="G103" s="110"/>
      <c r="H103" s="105"/>
      <c r="I103" s="105"/>
      <c r="J103" s="95"/>
      <c r="K103" s="95"/>
      <c r="L103" s="95"/>
      <c r="M103" s="220" t="s">
        <v>118</v>
      </c>
      <c r="N103" s="211" t="str">
        <f t="shared" si="2"/>
        <v>N</v>
      </c>
    </row>
    <row r="104" spans="1:14" x14ac:dyDescent="0.2">
      <c r="A104" s="95"/>
      <c r="B104" s="90"/>
      <c r="C104" s="90"/>
      <c r="D104" s="90"/>
      <c r="E104" s="186"/>
      <c r="F104" s="95"/>
      <c r="G104" s="110"/>
      <c r="H104" s="105"/>
      <c r="I104" s="105"/>
      <c r="J104" s="95"/>
      <c r="K104" s="95"/>
      <c r="L104" s="95"/>
      <c r="M104" s="220" t="s">
        <v>118</v>
      </c>
      <c r="N104" s="211" t="str">
        <f t="shared" si="2"/>
        <v>N</v>
      </c>
    </row>
    <row r="105" spans="1:14" x14ac:dyDescent="0.2">
      <c r="A105" s="95"/>
      <c r="B105" s="90"/>
      <c r="C105" s="90"/>
      <c r="D105" s="90"/>
      <c r="E105" s="186"/>
      <c r="F105" s="95"/>
      <c r="G105" s="110"/>
      <c r="H105" s="105"/>
      <c r="I105" s="105"/>
      <c r="J105" s="95"/>
      <c r="K105" s="95"/>
      <c r="L105" s="95"/>
      <c r="M105" s="220" t="s">
        <v>118</v>
      </c>
      <c r="N105" s="211" t="str">
        <f t="shared" si="2"/>
        <v>N</v>
      </c>
    </row>
    <row r="106" spans="1:14" x14ac:dyDescent="0.2">
      <c r="A106" s="95"/>
      <c r="B106" s="90"/>
      <c r="C106" s="90"/>
      <c r="D106" s="90"/>
      <c r="E106" s="186"/>
      <c r="F106" s="95"/>
      <c r="G106" s="110"/>
      <c r="H106" s="105"/>
      <c r="I106" s="105"/>
      <c r="J106" s="95"/>
      <c r="K106" s="95"/>
      <c r="L106" s="95"/>
      <c r="M106" s="220" t="s">
        <v>118</v>
      </c>
      <c r="N106" s="211" t="str">
        <f t="shared" si="2"/>
        <v>N</v>
      </c>
    </row>
    <row r="107" spans="1:14" x14ac:dyDescent="0.2">
      <c r="A107" s="95"/>
      <c r="B107" s="90"/>
      <c r="C107" s="90"/>
      <c r="D107" s="90"/>
      <c r="E107" s="186"/>
      <c r="F107" s="95"/>
      <c r="G107" s="110"/>
      <c r="H107" s="105"/>
      <c r="I107" s="105"/>
      <c r="J107" s="95"/>
      <c r="K107" s="95"/>
      <c r="L107" s="95"/>
      <c r="M107" s="220" t="s">
        <v>118</v>
      </c>
      <c r="N107" s="211" t="str">
        <f t="shared" si="2"/>
        <v>N</v>
      </c>
    </row>
    <row r="108" spans="1:14" x14ac:dyDescent="0.2">
      <c r="A108" s="95"/>
      <c r="B108" s="90"/>
      <c r="C108" s="90"/>
      <c r="D108" s="90"/>
      <c r="E108" s="186"/>
      <c r="F108" s="95"/>
      <c r="G108" s="110"/>
      <c r="H108" s="105"/>
      <c r="I108" s="105"/>
      <c r="J108" s="95"/>
      <c r="K108" s="95"/>
      <c r="L108" s="95"/>
      <c r="M108" s="220" t="s">
        <v>118</v>
      </c>
      <c r="N108" s="211" t="str">
        <f t="shared" si="2"/>
        <v>N</v>
      </c>
    </row>
    <row r="109" spans="1:14" x14ac:dyDescent="0.2">
      <c r="A109" s="95"/>
      <c r="B109" s="90"/>
      <c r="C109" s="90"/>
      <c r="D109" s="90"/>
      <c r="E109" s="186"/>
      <c r="F109" s="95"/>
      <c r="G109" s="110"/>
      <c r="H109" s="105"/>
      <c r="I109" s="105"/>
      <c r="J109" s="95"/>
      <c r="K109" s="95"/>
      <c r="L109" s="95"/>
      <c r="M109" s="220" t="s">
        <v>118</v>
      </c>
      <c r="N109" s="211" t="str">
        <f t="shared" si="2"/>
        <v>N</v>
      </c>
    </row>
    <row r="110" spans="1:14" x14ac:dyDescent="0.2">
      <c r="A110" s="221"/>
      <c r="B110" s="222"/>
      <c r="C110" s="222"/>
      <c r="D110" s="222"/>
      <c r="E110" s="223"/>
      <c r="F110" s="221"/>
      <c r="G110" s="224"/>
      <c r="H110" s="225"/>
      <c r="I110" s="225"/>
      <c r="J110" s="221"/>
      <c r="K110" s="221"/>
      <c r="L110" s="221"/>
      <c r="M110" s="226" t="s">
        <v>118</v>
      </c>
      <c r="N110" s="211" t="str">
        <f t="shared" si="2"/>
        <v>N</v>
      </c>
    </row>
    <row r="111" spans="1:14" ht="15.75" customHeight="1" x14ac:dyDescent="0.2">
      <c r="A111" s="95"/>
      <c r="B111" s="90"/>
      <c r="C111" s="90"/>
      <c r="D111" s="90"/>
      <c r="E111" s="189"/>
      <c r="F111" s="90"/>
      <c r="G111" s="216"/>
      <c r="H111" s="106"/>
      <c r="I111" s="106"/>
      <c r="J111" s="90"/>
      <c r="K111" s="93"/>
      <c r="L111" s="95"/>
      <c r="M111" s="2"/>
      <c r="N111" s="2"/>
    </row>
    <row r="112" spans="1:14" ht="15.75" customHeight="1" x14ac:dyDescent="0.2">
      <c r="A112" s="95"/>
      <c r="B112" s="90"/>
      <c r="C112" s="90"/>
      <c r="D112" s="90"/>
      <c r="E112" s="189"/>
      <c r="F112" s="90"/>
      <c r="G112" s="216"/>
      <c r="H112" s="106"/>
      <c r="I112" s="106"/>
      <c r="J112" s="90"/>
      <c r="K112" s="93"/>
      <c r="L112" s="95"/>
      <c r="M112" s="2"/>
      <c r="N112" s="2"/>
    </row>
    <row r="113" spans="1:14" ht="15.75" customHeight="1" x14ac:dyDescent="0.2">
      <c r="A113" s="95"/>
      <c r="B113" s="90"/>
      <c r="C113" s="90"/>
      <c r="D113" s="90"/>
      <c r="E113" s="189"/>
      <c r="F113" s="90"/>
      <c r="G113" s="216"/>
      <c r="H113" s="106"/>
      <c r="I113" s="106"/>
      <c r="J113" s="90"/>
      <c r="K113" s="93"/>
      <c r="L113" s="95"/>
      <c r="M113" s="2"/>
      <c r="N113" s="2"/>
    </row>
    <row r="114" spans="1:14" ht="15.75" customHeight="1" x14ac:dyDescent="0.2">
      <c r="A114" s="95"/>
      <c r="B114" s="90"/>
      <c r="C114" s="90"/>
      <c r="D114" s="90"/>
      <c r="E114" s="189"/>
      <c r="F114" s="90"/>
      <c r="G114" s="216"/>
      <c r="H114" s="106"/>
      <c r="I114" s="106"/>
      <c r="J114" s="90"/>
      <c r="K114" s="93"/>
      <c r="L114" s="95"/>
      <c r="M114" s="2"/>
      <c r="N114" s="2"/>
    </row>
    <row r="115" spans="1:14" ht="15.75" customHeight="1" x14ac:dyDescent="0.2">
      <c r="A115" s="95"/>
      <c r="B115" s="90"/>
      <c r="C115" s="90"/>
      <c r="D115" s="90"/>
      <c r="E115" s="189"/>
      <c r="F115" s="90"/>
      <c r="G115" s="216"/>
      <c r="H115" s="106"/>
      <c r="I115" s="106"/>
      <c r="J115" s="90"/>
      <c r="K115" s="93"/>
      <c r="L115" s="95"/>
      <c r="M115" s="2"/>
      <c r="N115" s="2"/>
    </row>
    <row r="116" spans="1:14" ht="15.75" customHeight="1" x14ac:dyDescent="0.2">
      <c r="A116" s="95"/>
      <c r="B116" s="90"/>
      <c r="C116" s="90"/>
      <c r="D116" s="90"/>
      <c r="E116" s="189"/>
      <c r="F116" s="90"/>
      <c r="G116" s="216"/>
      <c r="H116" s="106"/>
      <c r="I116" s="106"/>
      <c r="J116" s="90"/>
      <c r="K116" s="93"/>
      <c r="L116" s="95"/>
      <c r="M116" s="2"/>
      <c r="N116" s="2"/>
    </row>
    <row r="117" spans="1:14" ht="15.75" customHeight="1" x14ac:dyDescent="0.2">
      <c r="A117" s="95"/>
      <c r="B117" s="90"/>
      <c r="C117" s="90"/>
      <c r="D117" s="90"/>
      <c r="E117" s="189"/>
      <c r="F117" s="90"/>
      <c r="G117" s="216"/>
      <c r="H117" s="106"/>
      <c r="I117" s="106"/>
      <c r="J117" s="90"/>
      <c r="K117" s="93"/>
      <c r="L117" s="95"/>
      <c r="M117" s="2"/>
      <c r="N117" s="2"/>
    </row>
    <row r="118" spans="1:14" ht="15.75" customHeight="1" x14ac:dyDescent="0.2">
      <c r="A118" s="95"/>
      <c r="B118" s="90"/>
      <c r="C118" s="90"/>
      <c r="D118" s="90"/>
      <c r="E118" s="189"/>
      <c r="F118" s="90"/>
      <c r="G118" s="216"/>
      <c r="H118" s="106"/>
      <c r="I118" s="106"/>
      <c r="J118" s="90"/>
      <c r="K118" s="93"/>
      <c r="L118" s="95"/>
      <c r="M118" s="2"/>
      <c r="N118" s="2"/>
    </row>
    <row r="119" spans="1:14" ht="15.75" customHeight="1" x14ac:dyDescent="0.2">
      <c r="A119" s="95"/>
      <c r="B119" s="90"/>
      <c r="C119" s="90"/>
      <c r="D119" s="90"/>
      <c r="E119" s="189"/>
      <c r="F119" s="90"/>
      <c r="G119" s="216"/>
      <c r="H119" s="106"/>
      <c r="I119" s="106"/>
      <c r="J119" s="90"/>
      <c r="K119" s="93"/>
      <c r="L119" s="95"/>
      <c r="M119" s="2"/>
      <c r="N119" s="2"/>
    </row>
    <row r="120" spans="1:14" ht="15.75" customHeight="1" x14ac:dyDescent="0.2">
      <c r="A120" s="95"/>
      <c r="B120" s="90"/>
      <c r="C120" s="90"/>
      <c r="D120" s="90"/>
      <c r="E120" s="189"/>
      <c r="F120" s="90"/>
      <c r="G120" s="216"/>
      <c r="H120" s="106"/>
      <c r="I120" s="106"/>
      <c r="J120" s="90"/>
      <c r="K120" s="93"/>
      <c r="L120" s="95"/>
      <c r="M120" s="2"/>
      <c r="N120" s="2"/>
    </row>
    <row r="121" spans="1:14" ht="15.75" customHeight="1" x14ac:dyDescent="0.2">
      <c r="A121" s="90"/>
      <c r="B121" s="90"/>
      <c r="C121" s="90"/>
      <c r="D121" s="90"/>
      <c r="E121" s="189"/>
      <c r="F121" s="90"/>
      <c r="G121" s="111"/>
      <c r="H121" s="106"/>
      <c r="I121" s="106"/>
      <c r="J121" s="90"/>
      <c r="K121" s="90"/>
      <c r="L121" s="95"/>
      <c r="M121" s="2"/>
      <c r="N121" s="2"/>
    </row>
    <row r="122" spans="1:14" ht="15.75" customHeight="1" x14ac:dyDescent="0.2">
      <c r="A122" s="90"/>
      <c r="B122" s="90"/>
      <c r="C122" s="90"/>
      <c r="D122" s="90"/>
      <c r="E122" s="189"/>
      <c r="F122" s="90"/>
      <c r="G122" s="111"/>
      <c r="H122" s="106"/>
      <c r="I122" s="106"/>
      <c r="J122" s="90"/>
      <c r="K122" s="90"/>
      <c r="L122" s="95"/>
      <c r="M122" s="2"/>
      <c r="N122" s="2"/>
    </row>
    <row r="123" spans="1:14" ht="15.75" customHeight="1" x14ac:dyDescent="0.2">
      <c r="A123" s="90"/>
      <c r="B123" s="90"/>
      <c r="C123" s="90"/>
      <c r="D123" s="90"/>
      <c r="E123" s="189"/>
      <c r="F123" s="90"/>
      <c r="G123" s="111"/>
      <c r="H123" s="106"/>
      <c r="I123" s="106"/>
      <c r="J123" s="90"/>
      <c r="K123" s="90"/>
      <c r="L123" s="95"/>
      <c r="M123" s="2"/>
      <c r="N123" s="2"/>
    </row>
    <row r="124" spans="1:14" ht="15.75" customHeight="1" x14ac:dyDescent="0.2">
      <c r="A124" s="90"/>
      <c r="B124" s="90"/>
      <c r="C124" s="90"/>
      <c r="D124" s="90"/>
      <c r="E124" s="189"/>
      <c r="F124" s="90"/>
      <c r="G124" s="111"/>
      <c r="H124" s="106"/>
      <c r="I124" s="106"/>
      <c r="J124" s="90"/>
      <c r="K124" s="90"/>
      <c r="L124" s="95"/>
      <c r="M124" s="2"/>
      <c r="N124" s="2"/>
    </row>
    <row r="125" spans="1:14" ht="15.75" customHeight="1" x14ac:dyDescent="0.2">
      <c r="A125" s="90"/>
      <c r="B125" s="90"/>
      <c r="C125" s="90"/>
      <c r="D125" s="90"/>
      <c r="E125" s="189"/>
      <c r="F125" s="90"/>
      <c r="G125" s="111"/>
      <c r="H125" s="106"/>
      <c r="I125" s="106"/>
      <c r="J125" s="90"/>
      <c r="K125" s="90"/>
      <c r="L125" s="95"/>
      <c r="M125" s="2"/>
      <c r="N125" s="2"/>
    </row>
    <row r="126" spans="1:14" ht="15.75" customHeight="1" x14ac:dyDescent="0.2">
      <c r="A126" s="90"/>
      <c r="B126" s="90"/>
      <c r="C126" s="90"/>
      <c r="D126" s="90"/>
      <c r="E126" s="189"/>
      <c r="F126" s="90"/>
      <c r="G126" s="111"/>
      <c r="H126" s="106"/>
      <c r="I126" s="106"/>
      <c r="J126" s="90"/>
      <c r="K126" s="90"/>
      <c r="L126" s="95"/>
      <c r="M126" s="2"/>
      <c r="N126" s="2"/>
    </row>
    <row r="127" spans="1:14" ht="15.75" customHeight="1" x14ac:dyDescent="0.2">
      <c r="A127" s="90"/>
      <c r="B127" s="90"/>
      <c r="C127" s="90"/>
      <c r="D127" s="90"/>
      <c r="E127" s="189"/>
      <c r="F127" s="90"/>
      <c r="G127" s="111"/>
      <c r="H127" s="106"/>
      <c r="I127" s="106"/>
      <c r="J127" s="90"/>
      <c r="K127" s="90"/>
      <c r="L127" s="95"/>
      <c r="M127" s="2"/>
      <c r="N127" s="2"/>
    </row>
    <row r="128" spans="1:14" ht="15.75" customHeight="1" x14ac:dyDescent="0.2">
      <c r="A128" s="90"/>
      <c r="B128" s="90"/>
      <c r="C128" s="90"/>
      <c r="D128" s="90"/>
      <c r="E128" s="189"/>
      <c r="F128" s="90"/>
      <c r="G128" s="111"/>
      <c r="H128" s="106"/>
      <c r="I128" s="106"/>
      <c r="J128" s="90"/>
      <c r="K128" s="90"/>
      <c r="L128" s="95"/>
      <c r="M128" s="2"/>
      <c r="N128" s="2"/>
    </row>
    <row r="129" spans="1:14" ht="15.75" customHeight="1" x14ac:dyDescent="0.2">
      <c r="A129" s="90"/>
      <c r="B129" s="90"/>
      <c r="C129" s="90"/>
      <c r="D129" s="90"/>
      <c r="E129" s="189"/>
      <c r="F129" s="90"/>
      <c r="G129" s="111"/>
      <c r="H129" s="106"/>
      <c r="I129" s="106"/>
      <c r="J129" s="90"/>
      <c r="K129" s="90"/>
      <c r="L129" s="95"/>
      <c r="M129" s="2"/>
      <c r="N129" s="2"/>
    </row>
    <row r="130" spans="1:14" ht="15.75" customHeight="1" x14ac:dyDescent="0.2">
      <c r="A130" s="90"/>
      <c r="B130" s="90"/>
      <c r="C130" s="90"/>
      <c r="D130" s="90"/>
      <c r="E130" s="189"/>
      <c r="F130" s="90"/>
      <c r="G130" s="111"/>
      <c r="H130" s="106"/>
      <c r="I130" s="106"/>
      <c r="J130" s="90"/>
      <c r="K130" s="90"/>
      <c r="L130" s="95"/>
      <c r="M130" s="2"/>
      <c r="N130" s="2"/>
    </row>
    <row r="131" spans="1:14" ht="15.75" customHeight="1" x14ac:dyDescent="0.2">
      <c r="A131" s="90"/>
      <c r="B131" s="90"/>
      <c r="C131" s="90"/>
      <c r="D131" s="90"/>
      <c r="E131" s="189"/>
      <c r="F131" s="90"/>
      <c r="G131" s="111"/>
      <c r="H131" s="106"/>
      <c r="I131" s="106"/>
      <c r="J131" s="90"/>
      <c r="K131" s="90"/>
      <c r="L131" s="95"/>
      <c r="M131" s="2"/>
      <c r="N131" s="2"/>
    </row>
    <row r="132" spans="1:14" ht="15.75" customHeight="1" x14ac:dyDescent="0.2">
      <c r="A132" s="90"/>
      <c r="B132" s="90"/>
      <c r="C132" s="90"/>
      <c r="D132" s="90"/>
      <c r="E132" s="189"/>
      <c r="F132" s="90"/>
      <c r="G132" s="111"/>
      <c r="H132" s="106"/>
      <c r="I132" s="106"/>
      <c r="J132" s="90"/>
      <c r="K132" s="90"/>
      <c r="L132" s="95"/>
      <c r="M132" s="2"/>
      <c r="N132" s="2"/>
    </row>
    <row r="133" spans="1:14" ht="15.75" customHeight="1" x14ac:dyDescent="0.2">
      <c r="A133" s="90"/>
      <c r="B133" s="90"/>
      <c r="C133" s="90"/>
      <c r="D133" s="90"/>
      <c r="E133" s="189"/>
      <c r="F133" s="90"/>
      <c r="G133" s="111"/>
      <c r="H133" s="106"/>
      <c r="I133" s="106"/>
      <c r="J133" s="90"/>
      <c r="K133" s="90"/>
      <c r="L133" s="95"/>
      <c r="M133" s="2"/>
      <c r="N133" s="2"/>
    </row>
    <row r="134" spans="1:14" ht="15.75" customHeight="1" x14ac:dyDescent="0.2">
      <c r="A134" s="90"/>
      <c r="B134" s="90"/>
      <c r="C134" s="90"/>
      <c r="D134" s="90"/>
      <c r="E134" s="189"/>
      <c r="F134" s="90"/>
      <c r="G134" s="111"/>
      <c r="H134" s="106"/>
      <c r="I134" s="106"/>
      <c r="J134" s="90"/>
      <c r="K134" s="90"/>
      <c r="L134" s="95"/>
      <c r="M134" s="2"/>
      <c r="N134" s="2"/>
    </row>
    <row r="135" spans="1:14" ht="15.75" customHeight="1" x14ac:dyDescent="0.2">
      <c r="A135" s="90"/>
      <c r="B135" s="90"/>
      <c r="C135" s="90"/>
      <c r="D135" s="90"/>
      <c r="E135" s="189"/>
      <c r="F135" s="90"/>
      <c r="G135" s="111"/>
      <c r="H135" s="106"/>
      <c r="I135" s="106"/>
      <c r="J135" s="90"/>
      <c r="K135" s="90"/>
      <c r="L135" s="95"/>
      <c r="M135" s="2"/>
      <c r="N135" s="2"/>
    </row>
    <row r="136" spans="1:14" ht="15.75" customHeight="1" x14ac:dyDescent="0.2">
      <c r="A136" s="90"/>
      <c r="B136" s="90"/>
      <c r="C136" s="90"/>
      <c r="D136" s="90"/>
      <c r="E136" s="189"/>
      <c r="F136" s="90"/>
      <c r="G136" s="111"/>
      <c r="H136" s="106"/>
      <c r="I136" s="106"/>
      <c r="J136" s="90"/>
      <c r="K136" s="90"/>
      <c r="L136" s="95"/>
      <c r="M136" s="2"/>
      <c r="N136" s="2"/>
    </row>
    <row r="137" spans="1:14" ht="15.75" customHeight="1" x14ac:dyDescent="0.2">
      <c r="A137" s="90"/>
      <c r="B137" s="90"/>
      <c r="C137" s="90"/>
      <c r="D137" s="90"/>
      <c r="E137" s="189"/>
      <c r="F137" s="90"/>
      <c r="G137" s="111"/>
      <c r="H137" s="106"/>
      <c r="I137" s="106"/>
      <c r="J137" s="90"/>
      <c r="K137" s="90"/>
      <c r="L137" s="95"/>
      <c r="M137" s="2"/>
      <c r="N137" s="2"/>
    </row>
    <row r="138" spans="1:14" ht="15.75" customHeight="1" x14ac:dyDescent="0.2">
      <c r="A138" s="90"/>
      <c r="B138" s="90"/>
      <c r="C138" s="90"/>
      <c r="D138" s="90"/>
      <c r="E138" s="189"/>
      <c r="F138" s="90"/>
      <c r="G138" s="111"/>
      <c r="H138" s="106"/>
      <c r="I138" s="106"/>
      <c r="J138" s="90"/>
      <c r="K138" s="90"/>
      <c r="L138" s="95"/>
      <c r="M138" s="2"/>
      <c r="N138" s="2"/>
    </row>
    <row r="139" spans="1:14" ht="15.75" customHeight="1" x14ac:dyDescent="0.2">
      <c r="A139" s="90"/>
      <c r="B139" s="90"/>
      <c r="C139" s="90"/>
      <c r="D139" s="90"/>
      <c r="E139" s="189"/>
      <c r="F139" s="90"/>
      <c r="G139" s="111"/>
      <c r="H139" s="106"/>
      <c r="I139" s="106"/>
      <c r="J139" s="90"/>
      <c r="K139" s="90"/>
      <c r="L139" s="95"/>
      <c r="M139" s="2"/>
      <c r="N139" s="2"/>
    </row>
    <row r="140" spans="1:14" ht="15.75" customHeight="1" x14ac:dyDescent="0.2">
      <c r="A140" s="90"/>
      <c r="B140" s="90"/>
      <c r="C140" s="90"/>
      <c r="D140" s="90"/>
      <c r="E140" s="189"/>
      <c r="F140" s="90"/>
      <c r="G140" s="111"/>
      <c r="H140" s="106"/>
      <c r="I140" s="106"/>
      <c r="J140" s="90"/>
      <c r="K140" s="90"/>
      <c r="L140" s="95"/>
      <c r="M140" s="2"/>
      <c r="N140" s="2"/>
    </row>
    <row r="141" spans="1:14" ht="15.75" customHeight="1" x14ac:dyDescent="0.2">
      <c r="A141" s="90"/>
      <c r="B141" s="90"/>
      <c r="C141" s="90"/>
      <c r="D141" s="90"/>
      <c r="E141" s="189"/>
      <c r="F141" s="90"/>
      <c r="G141" s="111"/>
      <c r="H141" s="106"/>
      <c r="I141" s="106"/>
      <c r="J141" s="90"/>
      <c r="K141" s="90"/>
      <c r="L141" s="95"/>
      <c r="M141" s="2"/>
      <c r="N141" s="2"/>
    </row>
    <row r="142" spans="1:14" ht="15.75" customHeight="1" x14ac:dyDescent="0.2">
      <c r="A142" s="90"/>
      <c r="B142" s="90"/>
      <c r="C142" s="90"/>
      <c r="D142" s="90"/>
      <c r="E142" s="189"/>
      <c r="F142" s="90"/>
      <c r="G142" s="111"/>
      <c r="H142" s="106"/>
      <c r="I142" s="106"/>
      <c r="J142" s="90"/>
      <c r="K142" s="90"/>
      <c r="L142" s="95"/>
      <c r="M142" s="2"/>
      <c r="N142" s="2"/>
    </row>
    <row r="143" spans="1:14" ht="15.75" customHeight="1" x14ac:dyDescent="0.2">
      <c r="A143" s="90"/>
      <c r="B143" s="90"/>
      <c r="C143" s="90"/>
      <c r="D143" s="90"/>
      <c r="E143" s="189"/>
      <c r="F143" s="90"/>
      <c r="G143" s="111"/>
      <c r="H143" s="106"/>
      <c r="I143" s="106"/>
      <c r="J143" s="90"/>
      <c r="K143" s="90"/>
      <c r="L143" s="95"/>
      <c r="M143" s="2"/>
      <c r="N143" s="2"/>
    </row>
    <row r="144" spans="1:14" ht="15.75" customHeight="1" x14ac:dyDescent="0.2">
      <c r="A144" s="90"/>
      <c r="B144" s="90"/>
      <c r="C144" s="90"/>
      <c r="D144" s="90"/>
      <c r="E144" s="189"/>
      <c r="F144" s="90"/>
      <c r="G144" s="111"/>
      <c r="H144" s="106"/>
      <c r="I144" s="106"/>
      <c r="J144" s="90"/>
      <c r="K144" s="90"/>
      <c r="L144" s="95"/>
      <c r="M144" s="2"/>
      <c r="N144" s="2"/>
    </row>
    <row r="145" spans="1:14" ht="15.75" customHeight="1" x14ac:dyDescent="0.2">
      <c r="A145" s="90"/>
      <c r="B145" s="90"/>
      <c r="C145" s="90"/>
      <c r="D145" s="90"/>
      <c r="E145" s="189"/>
      <c r="F145" s="90"/>
      <c r="G145" s="111"/>
      <c r="H145" s="106"/>
      <c r="I145" s="106"/>
      <c r="J145" s="90"/>
      <c r="K145" s="90"/>
      <c r="L145" s="95"/>
      <c r="M145" s="2"/>
      <c r="N145" s="2"/>
    </row>
    <row r="146" spans="1:14" ht="15.75" customHeight="1" x14ac:dyDescent="0.2">
      <c r="A146" s="90"/>
      <c r="B146" s="90"/>
      <c r="C146" s="90"/>
      <c r="D146" s="90"/>
      <c r="E146" s="189"/>
      <c r="F146" s="90"/>
      <c r="G146" s="111"/>
      <c r="H146" s="106"/>
      <c r="I146" s="106"/>
      <c r="J146" s="90"/>
      <c r="K146" s="90"/>
      <c r="L146" s="95"/>
      <c r="M146" s="2"/>
      <c r="N146" s="2"/>
    </row>
    <row r="147" spans="1:14" ht="15.75" customHeight="1" x14ac:dyDescent="0.2">
      <c r="A147" s="90"/>
      <c r="B147" s="90"/>
      <c r="C147" s="90"/>
      <c r="D147" s="90"/>
      <c r="E147" s="189"/>
      <c r="F147" s="90"/>
      <c r="G147" s="111"/>
      <c r="H147" s="106"/>
      <c r="I147" s="106"/>
      <c r="J147" s="90"/>
      <c r="K147" s="90"/>
      <c r="L147" s="95"/>
      <c r="M147" s="2"/>
      <c r="N147" s="2"/>
    </row>
    <row r="148" spans="1:14" ht="15.75" customHeight="1" x14ac:dyDescent="0.2">
      <c r="A148" s="90"/>
      <c r="B148" s="90"/>
      <c r="C148" s="90"/>
      <c r="D148" s="90"/>
      <c r="E148" s="189"/>
      <c r="F148" s="90"/>
      <c r="G148" s="111"/>
      <c r="H148" s="106"/>
      <c r="I148" s="106"/>
      <c r="J148" s="90"/>
      <c r="K148" s="90"/>
      <c r="L148" s="95"/>
      <c r="M148" s="2"/>
      <c r="N148" s="2"/>
    </row>
    <row r="149" spans="1:14" ht="15.75" customHeight="1" x14ac:dyDescent="0.2">
      <c r="A149" s="90"/>
      <c r="B149" s="90"/>
      <c r="C149" s="90"/>
      <c r="D149" s="90"/>
      <c r="E149" s="189"/>
      <c r="F149" s="90"/>
      <c r="G149" s="111"/>
      <c r="H149" s="106"/>
      <c r="I149" s="106"/>
      <c r="J149" s="90"/>
      <c r="K149" s="90"/>
      <c r="L149" s="95"/>
      <c r="M149" s="2"/>
      <c r="N149" s="2"/>
    </row>
    <row r="150" spans="1:14" ht="15.75" customHeight="1" x14ac:dyDescent="0.2">
      <c r="A150" s="90"/>
      <c r="B150" s="90"/>
      <c r="C150" s="90"/>
      <c r="D150" s="90"/>
      <c r="E150" s="189"/>
      <c r="F150" s="90"/>
      <c r="G150" s="111"/>
      <c r="H150" s="106"/>
      <c r="I150" s="106"/>
      <c r="J150" s="90"/>
      <c r="K150" s="90"/>
      <c r="L150" s="95"/>
      <c r="M150" s="2"/>
      <c r="N150" s="2"/>
    </row>
    <row r="151" spans="1:14" ht="15.75" customHeight="1" x14ac:dyDescent="0.2">
      <c r="A151" s="90"/>
      <c r="B151" s="90"/>
      <c r="C151" s="90"/>
      <c r="D151" s="90"/>
      <c r="E151" s="189"/>
      <c r="F151" s="90"/>
      <c r="G151" s="111"/>
      <c r="H151" s="106"/>
      <c r="I151" s="106"/>
      <c r="J151" s="90"/>
      <c r="K151" s="90"/>
      <c r="L151" s="95"/>
      <c r="M151" s="2"/>
      <c r="N151" s="2"/>
    </row>
    <row r="152" spans="1:14" ht="15.75" customHeight="1" x14ac:dyDescent="0.2">
      <c r="A152" s="90"/>
      <c r="B152" s="90"/>
      <c r="C152" s="90"/>
      <c r="D152" s="90"/>
      <c r="E152" s="189"/>
      <c r="F152" s="90"/>
      <c r="G152" s="111"/>
      <c r="H152" s="106"/>
      <c r="I152" s="106"/>
      <c r="J152" s="90"/>
      <c r="K152" s="90"/>
      <c r="L152" s="95"/>
      <c r="M152" s="2"/>
      <c r="N152" s="2"/>
    </row>
    <row r="153" spans="1:14" ht="15.75" customHeight="1" x14ac:dyDescent="0.2">
      <c r="A153" s="90"/>
      <c r="B153" s="90"/>
      <c r="C153" s="90"/>
      <c r="D153" s="90"/>
      <c r="E153" s="189"/>
      <c r="F153" s="90"/>
      <c r="G153" s="111"/>
      <c r="H153" s="106"/>
      <c r="I153" s="106"/>
      <c r="J153" s="90"/>
      <c r="K153" s="90"/>
      <c r="L153" s="95"/>
      <c r="M153" s="2"/>
      <c r="N153" s="2"/>
    </row>
    <row r="154" spans="1:14" ht="15.75" customHeight="1" x14ac:dyDescent="0.2">
      <c r="A154" s="90"/>
      <c r="B154" s="90"/>
      <c r="C154" s="90"/>
      <c r="D154" s="90"/>
      <c r="E154" s="189"/>
      <c r="F154" s="90"/>
      <c r="G154" s="111"/>
      <c r="H154" s="106"/>
      <c r="I154" s="106"/>
      <c r="J154" s="90"/>
      <c r="K154" s="90"/>
      <c r="L154" s="95"/>
      <c r="M154" s="2"/>
      <c r="N154" s="2"/>
    </row>
    <row r="155" spans="1:14" ht="15.75" customHeight="1" x14ac:dyDescent="0.2">
      <c r="A155" s="90"/>
      <c r="B155" s="90"/>
      <c r="C155" s="90"/>
      <c r="D155" s="90"/>
      <c r="E155" s="189"/>
      <c r="F155" s="90"/>
      <c r="G155" s="111"/>
      <c r="H155" s="106"/>
      <c r="I155" s="106"/>
      <c r="J155" s="90"/>
      <c r="K155" s="90"/>
      <c r="L155" s="95"/>
      <c r="M155" s="2"/>
      <c r="N155" s="2"/>
    </row>
    <row r="156" spans="1:14" ht="15.75" customHeight="1" x14ac:dyDescent="0.2">
      <c r="A156" s="90"/>
      <c r="B156" s="90"/>
      <c r="C156" s="90"/>
      <c r="D156" s="90"/>
      <c r="E156" s="189"/>
      <c r="F156" s="90"/>
      <c r="G156" s="111"/>
      <c r="H156" s="106"/>
      <c r="I156" s="106"/>
      <c r="J156" s="90"/>
      <c r="K156" s="90"/>
      <c r="L156" s="95"/>
      <c r="M156" s="2"/>
      <c r="N156" s="2"/>
    </row>
    <row r="157" spans="1:14" ht="15.75" customHeight="1" x14ac:dyDescent="0.2">
      <c r="A157" s="90"/>
      <c r="B157" s="90"/>
      <c r="C157" s="90"/>
      <c r="D157" s="90"/>
      <c r="E157" s="189"/>
      <c r="F157" s="90"/>
      <c r="G157" s="111"/>
      <c r="H157" s="106"/>
      <c r="I157" s="106"/>
      <c r="J157" s="90"/>
      <c r="K157" s="90"/>
      <c r="L157" s="95"/>
      <c r="M157" s="2"/>
      <c r="N157" s="2"/>
    </row>
    <row r="158" spans="1:14" ht="15.75" customHeight="1" x14ac:dyDescent="0.2">
      <c r="A158" s="90"/>
      <c r="B158" s="90"/>
      <c r="C158" s="90"/>
      <c r="D158" s="90"/>
      <c r="E158" s="189"/>
      <c r="F158" s="90"/>
      <c r="G158" s="111"/>
      <c r="H158" s="106"/>
      <c r="I158" s="106"/>
      <c r="J158" s="90"/>
      <c r="K158" s="90"/>
      <c r="L158" s="95"/>
      <c r="M158" s="2"/>
      <c r="N158" s="2"/>
    </row>
    <row r="159" spans="1:14" ht="15.75" customHeight="1" x14ac:dyDescent="0.2">
      <c r="A159" s="90"/>
      <c r="B159" s="90"/>
      <c r="C159" s="90"/>
      <c r="D159" s="90"/>
      <c r="E159" s="189"/>
      <c r="F159" s="90"/>
      <c r="G159" s="111"/>
      <c r="H159" s="106"/>
      <c r="I159" s="106"/>
      <c r="J159" s="90"/>
      <c r="K159" s="90"/>
      <c r="L159" s="95"/>
      <c r="M159" s="2"/>
      <c r="N159" s="2"/>
    </row>
    <row r="160" spans="1:14" ht="15.75" customHeight="1" x14ac:dyDescent="0.2">
      <c r="A160" s="90"/>
      <c r="B160" s="90"/>
      <c r="C160" s="90"/>
      <c r="D160" s="90"/>
      <c r="E160" s="189"/>
      <c r="F160" s="90"/>
      <c r="G160" s="111"/>
      <c r="H160" s="106"/>
      <c r="I160" s="106"/>
      <c r="J160" s="90"/>
      <c r="K160" s="90"/>
      <c r="L160" s="95"/>
      <c r="M160" s="2"/>
      <c r="N160" s="2"/>
    </row>
    <row r="161" spans="1:14" ht="15.75" customHeight="1" x14ac:dyDescent="0.2">
      <c r="A161" s="90"/>
      <c r="B161" s="90"/>
      <c r="C161" s="90"/>
      <c r="D161" s="90"/>
      <c r="E161" s="189"/>
      <c r="F161" s="90"/>
      <c r="G161" s="111"/>
      <c r="H161" s="106"/>
      <c r="I161" s="106"/>
      <c r="J161" s="90"/>
      <c r="K161" s="90"/>
      <c r="L161" s="95"/>
      <c r="M161" s="2"/>
      <c r="N161" s="2"/>
    </row>
    <row r="162" spans="1:14" ht="15.75" customHeight="1" x14ac:dyDescent="0.2">
      <c r="A162" s="90"/>
      <c r="B162" s="90"/>
      <c r="C162" s="90"/>
      <c r="D162" s="90"/>
      <c r="E162" s="189"/>
      <c r="F162" s="90"/>
      <c r="G162" s="111"/>
      <c r="H162" s="106"/>
      <c r="I162" s="106"/>
      <c r="J162" s="90"/>
      <c r="K162" s="90"/>
      <c r="L162" s="95"/>
      <c r="M162" s="2"/>
      <c r="N162" s="2"/>
    </row>
    <row r="163" spans="1:14" ht="15.75" customHeight="1" x14ac:dyDescent="0.2">
      <c r="A163" s="90"/>
      <c r="B163" s="90"/>
      <c r="C163" s="90"/>
      <c r="D163" s="90"/>
      <c r="E163" s="189"/>
      <c r="F163" s="90"/>
      <c r="G163" s="111"/>
      <c r="H163" s="106"/>
      <c r="I163" s="106"/>
      <c r="J163" s="90"/>
      <c r="K163" s="90"/>
      <c r="L163" s="95"/>
      <c r="M163" s="2"/>
      <c r="N163" s="2"/>
    </row>
    <row r="164" spans="1:14" ht="15.75" customHeight="1" x14ac:dyDescent="0.2">
      <c r="A164" s="90"/>
      <c r="B164" s="90"/>
      <c r="C164" s="90"/>
      <c r="D164" s="90"/>
      <c r="E164" s="189"/>
      <c r="F164" s="90"/>
      <c r="G164" s="111"/>
      <c r="H164" s="106"/>
      <c r="I164" s="106"/>
      <c r="J164" s="90"/>
      <c r="K164" s="90"/>
      <c r="L164" s="95"/>
      <c r="M164" s="2"/>
      <c r="N164" s="2"/>
    </row>
    <row r="165" spans="1:14" ht="15.75" customHeight="1" x14ac:dyDescent="0.2">
      <c r="A165" s="90"/>
      <c r="B165" s="90"/>
      <c r="C165" s="90"/>
      <c r="D165" s="90"/>
      <c r="E165" s="189"/>
      <c r="F165" s="90"/>
      <c r="G165" s="111"/>
      <c r="H165" s="106"/>
      <c r="I165" s="106"/>
      <c r="J165" s="90"/>
      <c r="K165" s="90"/>
      <c r="L165" s="95"/>
      <c r="M165" s="2"/>
      <c r="N165" s="2"/>
    </row>
    <row r="166" spans="1:14" ht="15.75" customHeight="1" x14ac:dyDescent="0.2">
      <c r="A166" s="90"/>
      <c r="B166" s="90"/>
      <c r="C166" s="90"/>
      <c r="D166" s="90"/>
      <c r="E166" s="189"/>
      <c r="F166" s="90"/>
      <c r="G166" s="111"/>
      <c r="H166" s="106"/>
      <c r="I166" s="106"/>
      <c r="J166" s="90"/>
      <c r="K166" s="90"/>
      <c r="L166" s="95"/>
      <c r="M166" s="2"/>
      <c r="N166" s="2"/>
    </row>
    <row r="167" spans="1:14" ht="15.75" customHeight="1" x14ac:dyDescent="0.2">
      <c r="A167" s="90"/>
      <c r="B167" s="90"/>
      <c r="C167" s="90"/>
      <c r="D167" s="90"/>
      <c r="E167" s="189"/>
      <c r="F167" s="90"/>
      <c r="G167" s="111"/>
      <c r="H167" s="106"/>
      <c r="I167" s="106"/>
      <c r="J167" s="90"/>
      <c r="K167" s="90"/>
      <c r="L167" s="95"/>
      <c r="M167" s="2"/>
      <c r="N167" s="2"/>
    </row>
    <row r="168" spans="1:14" ht="15.75" customHeight="1" x14ac:dyDescent="0.2">
      <c r="B168" s="215"/>
      <c r="C168" s="215"/>
      <c r="D168" s="215"/>
    </row>
    <row r="169" spans="1:14" ht="15.75" customHeight="1" x14ac:dyDescent="0.2">
      <c r="B169" s="215"/>
      <c r="C169" s="215"/>
      <c r="D169" s="215"/>
    </row>
    <row r="170" spans="1:14" ht="15.75" customHeight="1" x14ac:dyDescent="0.2">
      <c r="B170" s="215"/>
      <c r="C170" s="215"/>
      <c r="D170" s="215"/>
    </row>
    <row r="171" spans="1:14" ht="15.75" customHeight="1" x14ac:dyDescent="0.2">
      <c r="B171" s="215"/>
      <c r="C171" s="215"/>
      <c r="D171" s="215"/>
    </row>
    <row r="172" spans="1:14" ht="15.75" customHeight="1" x14ac:dyDescent="0.2">
      <c r="B172" s="215"/>
      <c r="C172" s="215"/>
      <c r="D172" s="215"/>
    </row>
    <row r="173" spans="1:14" ht="15.75" customHeight="1" x14ac:dyDescent="0.2">
      <c r="B173" s="215"/>
      <c r="C173" s="215"/>
      <c r="D173" s="215"/>
    </row>
    <row r="174" spans="1:14" ht="15.75" customHeight="1" x14ac:dyDescent="0.2">
      <c r="B174" s="215"/>
      <c r="C174" s="215"/>
      <c r="D174" s="215"/>
    </row>
    <row r="175" spans="1:14" ht="15.75" customHeight="1" x14ac:dyDescent="0.2">
      <c r="B175" s="215"/>
      <c r="C175" s="215"/>
      <c r="D175" s="215"/>
    </row>
    <row r="176" spans="1:14" ht="15.75" customHeight="1" x14ac:dyDescent="0.2">
      <c r="B176" s="215"/>
      <c r="C176" s="215"/>
      <c r="D176" s="215"/>
    </row>
    <row r="177" spans="2:4" ht="15.75" customHeight="1" x14ac:dyDescent="0.2">
      <c r="B177" s="215"/>
      <c r="C177" s="215"/>
      <c r="D177" s="215"/>
    </row>
    <row r="178" spans="2:4" ht="15.75" customHeight="1" x14ac:dyDescent="0.2">
      <c r="B178" s="215"/>
      <c r="C178" s="215"/>
      <c r="D178" s="215"/>
    </row>
    <row r="179" spans="2:4" ht="15.75" customHeight="1" x14ac:dyDescent="0.2">
      <c r="B179" s="215"/>
      <c r="C179" s="215"/>
      <c r="D179" s="215"/>
    </row>
    <row r="180" spans="2:4" ht="15.75" customHeight="1" x14ac:dyDescent="0.2">
      <c r="B180" s="215"/>
      <c r="C180" s="215"/>
      <c r="D180" s="215"/>
    </row>
    <row r="181" spans="2:4" ht="15.75" customHeight="1" x14ac:dyDescent="0.2">
      <c r="B181" s="215"/>
      <c r="C181" s="215"/>
      <c r="D181" s="215"/>
    </row>
    <row r="182" spans="2:4" ht="15.75" customHeight="1" x14ac:dyDescent="0.2">
      <c r="B182" s="215"/>
      <c r="C182" s="215"/>
      <c r="D182" s="215"/>
    </row>
    <row r="183" spans="2:4" ht="15.75" customHeight="1" x14ac:dyDescent="0.2">
      <c r="B183" s="215"/>
      <c r="C183" s="215"/>
      <c r="D183" s="215"/>
    </row>
    <row r="184" spans="2:4" ht="15.75" customHeight="1" x14ac:dyDescent="0.2">
      <c r="B184" s="215"/>
      <c r="C184" s="215"/>
      <c r="D184" s="215"/>
    </row>
    <row r="185" spans="2:4" ht="15.75" customHeight="1" x14ac:dyDescent="0.2">
      <c r="B185" s="215"/>
      <c r="C185" s="215"/>
      <c r="D185" s="215"/>
    </row>
    <row r="186" spans="2:4" ht="15.75" customHeight="1" x14ac:dyDescent="0.2">
      <c r="B186" s="215"/>
      <c r="C186" s="215"/>
      <c r="D186" s="215"/>
    </row>
    <row r="187" spans="2:4" ht="15.75" customHeight="1" x14ac:dyDescent="0.2">
      <c r="B187" s="215"/>
      <c r="C187" s="215"/>
      <c r="D187" s="215"/>
    </row>
    <row r="188" spans="2:4" ht="15.75" customHeight="1" x14ac:dyDescent="0.2">
      <c r="B188" s="215"/>
      <c r="C188" s="215"/>
      <c r="D188" s="215"/>
    </row>
    <row r="189" spans="2:4" ht="15.75" customHeight="1" x14ac:dyDescent="0.2">
      <c r="B189" s="215"/>
      <c r="C189" s="215"/>
      <c r="D189" s="215"/>
    </row>
    <row r="190" spans="2:4" ht="15.75" customHeight="1" x14ac:dyDescent="0.2">
      <c r="B190" s="215"/>
      <c r="C190" s="215"/>
      <c r="D190" s="215"/>
    </row>
    <row r="191" spans="2:4" ht="15.75" customHeight="1" x14ac:dyDescent="0.2">
      <c r="B191" s="215"/>
      <c r="C191" s="215"/>
      <c r="D191" s="215"/>
    </row>
    <row r="192" spans="2:4" ht="15.75" customHeight="1" x14ac:dyDescent="0.2">
      <c r="B192" s="215"/>
      <c r="C192" s="215"/>
      <c r="D192" s="215"/>
    </row>
    <row r="193" spans="2:4" ht="15.75" customHeight="1" x14ac:dyDescent="0.2">
      <c r="B193" s="215"/>
      <c r="C193" s="215"/>
      <c r="D193" s="215"/>
    </row>
    <row r="194" spans="2:4" ht="15.75" customHeight="1" x14ac:dyDescent="0.2">
      <c r="B194" s="215"/>
      <c r="C194" s="215"/>
      <c r="D194" s="215"/>
    </row>
    <row r="195" spans="2:4" ht="15.75" customHeight="1" x14ac:dyDescent="0.2">
      <c r="B195" s="215"/>
      <c r="C195" s="215"/>
      <c r="D195" s="215"/>
    </row>
    <row r="196" spans="2:4" ht="15.75" customHeight="1" x14ac:dyDescent="0.2">
      <c r="B196" s="215"/>
      <c r="C196" s="215"/>
      <c r="D196" s="215"/>
    </row>
    <row r="197" spans="2:4" ht="15.75" customHeight="1" x14ac:dyDescent="0.2">
      <c r="B197" s="215"/>
      <c r="C197" s="215"/>
      <c r="D197" s="215"/>
    </row>
    <row r="198" spans="2:4" ht="15.75" customHeight="1" x14ac:dyDescent="0.2">
      <c r="B198" s="215"/>
      <c r="C198" s="215"/>
      <c r="D198" s="215"/>
    </row>
    <row r="199" spans="2:4" ht="15.75" customHeight="1" x14ac:dyDescent="0.2">
      <c r="B199" s="215"/>
      <c r="C199" s="215"/>
      <c r="D199" s="215"/>
    </row>
    <row r="200" spans="2:4" ht="15.75" customHeight="1" x14ac:dyDescent="0.2">
      <c r="B200" s="215"/>
      <c r="C200" s="215"/>
      <c r="D200" s="215"/>
    </row>
    <row r="201" spans="2:4" ht="15.75" customHeight="1" x14ac:dyDescent="0.2">
      <c r="B201" s="215"/>
      <c r="C201" s="215"/>
      <c r="D201" s="215"/>
    </row>
    <row r="202" spans="2:4" ht="15.75" customHeight="1" x14ac:dyDescent="0.2">
      <c r="B202" s="215"/>
      <c r="C202" s="215"/>
      <c r="D202" s="215"/>
    </row>
    <row r="203" spans="2:4" ht="15.75" customHeight="1" x14ac:dyDescent="0.2">
      <c r="B203" s="215"/>
      <c r="C203" s="215"/>
      <c r="D203" s="215"/>
    </row>
    <row r="204" spans="2:4" ht="15.75" customHeight="1" x14ac:dyDescent="0.2">
      <c r="B204" s="215"/>
      <c r="C204" s="215"/>
      <c r="D204" s="215"/>
    </row>
    <row r="205" spans="2:4" ht="15.75" customHeight="1" x14ac:dyDescent="0.2">
      <c r="B205" s="215"/>
      <c r="C205" s="215"/>
      <c r="D205" s="215"/>
    </row>
    <row r="206" spans="2:4" ht="15.75" customHeight="1" x14ac:dyDescent="0.2">
      <c r="B206" s="215"/>
      <c r="C206" s="215"/>
      <c r="D206" s="215"/>
    </row>
    <row r="207" spans="2:4" ht="15.75" customHeight="1" x14ac:dyDescent="0.2">
      <c r="B207" s="215"/>
      <c r="C207" s="215"/>
      <c r="D207" s="215"/>
    </row>
    <row r="208" spans="2:4" ht="15.75" customHeight="1" x14ac:dyDescent="0.2">
      <c r="B208" s="215"/>
      <c r="C208" s="215"/>
      <c r="D208" s="215"/>
    </row>
    <row r="209" spans="2:4" ht="15.75" customHeight="1" x14ac:dyDescent="0.2">
      <c r="B209" s="215"/>
      <c r="C209" s="215"/>
      <c r="D209" s="215"/>
    </row>
    <row r="210" spans="2:4" ht="15.75" customHeight="1" x14ac:dyDescent="0.2">
      <c r="B210" s="215"/>
      <c r="C210" s="215"/>
      <c r="D210" s="215"/>
    </row>
    <row r="211" spans="2:4" ht="15.75" customHeight="1" x14ac:dyDescent="0.2">
      <c r="B211" s="215"/>
      <c r="C211" s="215"/>
      <c r="D211" s="215"/>
    </row>
    <row r="212" spans="2:4" ht="15.75" customHeight="1" x14ac:dyDescent="0.2">
      <c r="B212" s="215"/>
      <c r="C212" s="215"/>
      <c r="D212" s="215"/>
    </row>
    <row r="213" spans="2:4" ht="15.75" customHeight="1" x14ac:dyDescent="0.2">
      <c r="B213" s="215"/>
      <c r="C213" s="215"/>
      <c r="D213" s="215"/>
    </row>
    <row r="214" spans="2:4" ht="15.75" customHeight="1" x14ac:dyDescent="0.2">
      <c r="B214" s="215"/>
      <c r="C214" s="215"/>
      <c r="D214" s="215"/>
    </row>
    <row r="215" spans="2:4" ht="15.75" customHeight="1" x14ac:dyDescent="0.2">
      <c r="B215" s="215"/>
      <c r="C215" s="215"/>
      <c r="D215" s="215"/>
    </row>
    <row r="216" spans="2:4" ht="15.75" customHeight="1" x14ac:dyDescent="0.2">
      <c r="B216" s="215"/>
      <c r="C216" s="215"/>
      <c r="D216" s="215"/>
    </row>
    <row r="217" spans="2:4" ht="15.75" customHeight="1" x14ac:dyDescent="0.2">
      <c r="B217" s="215"/>
      <c r="C217" s="215"/>
      <c r="D217" s="215"/>
    </row>
    <row r="218" spans="2:4" ht="15.75" customHeight="1" x14ac:dyDescent="0.2">
      <c r="B218" s="215"/>
      <c r="C218" s="215"/>
      <c r="D218" s="215"/>
    </row>
    <row r="219" spans="2:4" ht="15.75" customHeight="1" x14ac:dyDescent="0.2">
      <c r="B219" s="215"/>
      <c r="C219" s="215"/>
      <c r="D219" s="215"/>
    </row>
    <row r="220" spans="2:4" ht="15.75" customHeight="1" x14ac:dyDescent="0.2">
      <c r="B220" s="215"/>
      <c r="C220" s="215"/>
      <c r="D220" s="215"/>
    </row>
    <row r="221" spans="2:4" ht="15.75" customHeight="1" x14ac:dyDescent="0.2">
      <c r="B221" s="215"/>
      <c r="C221" s="215"/>
      <c r="D221" s="215"/>
    </row>
    <row r="222" spans="2:4" ht="15.75" customHeight="1" x14ac:dyDescent="0.2">
      <c r="B222" s="215"/>
      <c r="C222" s="215"/>
      <c r="D222" s="215"/>
    </row>
    <row r="223" spans="2:4" ht="15.75" customHeight="1" x14ac:dyDescent="0.2">
      <c r="B223" s="215"/>
      <c r="C223" s="215"/>
      <c r="D223" s="215"/>
    </row>
    <row r="224" spans="2:4" ht="15.75" customHeight="1" x14ac:dyDescent="0.2">
      <c r="B224" s="215"/>
      <c r="C224" s="215"/>
      <c r="D224" s="215"/>
    </row>
    <row r="225" spans="2:4" ht="15.75" customHeight="1" x14ac:dyDescent="0.2">
      <c r="B225" s="215"/>
      <c r="C225" s="215"/>
      <c r="D225" s="215"/>
    </row>
    <row r="226" spans="2:4" ht="15.75" customHeight="1" x14ac:dyDescent="0.2">
      <c r="B226" s="215"/>
      <c r="C226" s="215"/>
      <c r="D226" s="215"/>
    </row>
    <row r="227" spans="2:4" ht="15.75" customHeight="1" x14ac:dyDescent="0.2">
      <c r="B227" s="215"/>
      <c r="C227" s="215"/>
      <c r="D227" s="215"/>
    </row>
    <row r="228" spans="2:4" ht="15.75" customHeight="1" x14ac:dyDescent="0.2">
      <c r="B228" s="215"/>
      <c r="C228" s="215"/>
      <c r="D228" s="215"/>
    </row>
    <row r="229" spans="2:4" ht="15.75" customHeight="1" x14ac:dyDescent="0.2">
      <c r="B229" s="215"/>
      <c r="C229" s="215"/>
      <c r="D229" s="215"/>
    </row>
    <row r="230" spans="2:4" ht="15.75" customHeight="1" x14ac:dyDescent="0.2">
      <c r="B230" s="215"/>
      <c r="C230" s="215"/>
      <c r="D230" s="215"/>
    </row>
    <row r="231" spans="2:4" ht="15.75" customHeight="1" x14ac:dyDescent="0.2">
      <c r="B231" s="215"/>
      <c r="C231" s="215"/>
      <c r="D231" s="215"/>
    </row>
    <row r="232" spans="2:4" ht="15.75" customHeight="1" x14ac:dyDescent="0.2">
      <c r="B232" s="215"/>
      <c r="C232" s="215"/>
      <c r="D232" s="215"/>
    </row>
    <row r="233" spans="2:4" ht="15.75" customHeight="1" x14ac:dyDescent="0.2">
      <c r="B233" s="215"/>
      <c r="C233" s="215"/>
      <c r="D233" s="215"/>
    </row>
    <row r="234" spans="2:4" ht="15.75" customHeight="1" x14ac:dyDescent="0.2">
      <c r="B234" s="215"/>
      <c r="C234" s="215"/>
      <c r="D234" s="215"/>
    </row>
    <row r="235" spans="2:4" ht="15.75" customHeight="1" x14ac:dyDescent="0.2">
      <c r="B235" s="215"/>
      <c r="C235" s="215"/>
      <c r="D235" s="215"/>
    </row>
    <row r="236" spans="2:4" ht="15.75" customHeight="1" x14ac:dyDescent="0.2">
      <c r="B236" s="215"/>
      <c r="C236" s="215"/>
      <c r="D236" s="215"/>
    </row>
    <row r="237" spans="2:4" ht="15.75" customHeight="1" x14ac:dyDescent="0.2">
      <c r="B237" s="215"/>
      <c r="C237" s="215"/>
      <c r="D237" s="215"/>
    </row>
    <row r="238" spans="2:4" ht="15.75" customHeight="1" x14ac:dyDescent="0.2">
      <c r="B238" s="215"/>
      <c r="C238" s="215"/>
      <c r="D238" s="215"/>
    </row>
    <row r="239" spans="2:4" ht="15.75" customHeight="1" x14ac:dyDescent="0.2">
      <c r="B239" s="215"/>
      <c r="C239" s="215"/>
      <c r="D239" s="215"/>
    </row>
    <row r="240" spans="2:4" ht="15.75" customHeight="1" x14ac:dyDescent="0.2">
      <c r="B240" s="215"/>
      <c r="C240" s="215"/>
      <c r="D240" s="215"/>
    </row>
    <row r="241" spans="2:4" ht="15.75" customHeight="1" x14ac:dyDescent="0.2">
      <c r="B241" s="215"/>
      <c r="C241" s="215"/>
      <c r="D241" s="215"/>
    </row>
    <row r="242" spans="2:4" ht="15.75" customHeight="1" x14ac:dyDescent="0.2">
      <c r="B242" s="215"/>
      <c r="C242" s="215"/>
      <c r="D242" s="215"/>
    </row>
    <row r="243" spans="2:4" ht="15.75" customHeight="1" x14ac:dyDescent="0.2">
      <c r="B243" s="215"/>
      <c r="C243" s="215"/>
      <c r="D243" s="215"/>
    </row>
    <row r="244" spans="2:4" ht="15.75" customHeight="1" x14ac:dyDescent="0.2">
      <c r="B244" s="215"/>
      <c r="C244" s="215"/>
      <c r="D244" s="215"/>
    </row>
    <row r="245" spans="2:4" ht="15.75" customHeight="1" x14ac:dyDescent="0.2">
      <c r="B245" s="215"/>
      <c r="C245" s="215"/>
      <c r="D245" s="215"/>
    </row>
    <row r="246" spans="2:4" ht="15.75" customHeight="1" x14ac:dyDescent="0.2">
      <c r="B246" s="215"/>
      <c r="C246" s="215"/>
      <c r="D246" s="215"/>
    </row>
    <row r="247" spans="2:4" ht="15.75" customHeight="1" x14ac:dyDescent="0.2">
      <c r="B247" s="215"/>
      <c r="C247" s="215"/>
      <c r="D247" s="215"/>
    </row>
    <row r="248" spans="2:4" ht="15.75" customHeight="1" x14ac:dyDescent="0.2">
      <c r="B248" s="215"/>
      <c r="C248" s="215"/>
      <c r="D248" s="215"/>
    </row>
    <row r="249" spans="2:4" ht="15.75" customHeight="1" x14ac:dyDescent="0.2">
      <c r="B249" s="215"/>
      <c r="C249" s="215"/>
      <c r="D249" s="215"/>
    </row>
    <row r="250" spans="2:4" ht="15.75" customHeight="1" x14ac:dyDescent="0.2">
      <c r="B250" s="215"/>
      <c r="C250" s="215"/>
      <c r="D250" s="215"/>
    </row>
    <row r="251" spans="2:4" ht="15.75" customHeight="1" x14ac:dyDescent="0.2">
      <c r="B251" s="215"/>
      <c r="C251" s="215"/>
      <c r="D251" s="215"/>
    </row>
    <row r="252" spans="2:4" ht="15.75" customHeight="1" x14ac:dyDescent="0.2">
      <c r="B252" s="215"/>
      <c r="C252" s="215"/>
      <c r="D252" s="215"/>
    </row>
    <row r="253" spans="2:4" ht="15.75" customHeight="1" x14ac:dyDescent="0.2">
      <c r="B253" s="215"/>
      <c r="C253" s="215"/>
      <c r="D253" s="215"/>
    </row>
    <row r="254" spans="2:4" ht="15.75" customHeight="1" x14ac:dyDescent="0.2">
      <c r="B254" s="215"/>
      <c r="C254" s="215"/>
      <c r="D254" s="215"/>
    </row>
    <row r="255" spans="2:4" ht="15.75" customHeight="1" x14ac:dyDescent="0.2">
      <c r="B255" s="215"/>
      <c r="C255" s="215"/>
      <c r="D255" s="215"/>
    </row>
    <row r="256" spans="2:4" ht="15.75" customHeight="1" x14ac:dyDescent="0.2">
      <c r="B256" s="215"/>
      <c r="C256" s="215"/>
      <c r="D256" s="215"/>
    </row>
    <row r="257" spans="2:4" ht="15.75" customHeight="1" x14ac:dyDescent="0.2">
      <c r="B257" s="215"/>
      <c r="C257" s="215"/>
      <c r="D257" s="215"/>
    </row>
    <row r="258" spans="2:4" ht="15.75" customHeight="1" x14ac:dyDescent="0.2">
      <c r="B258" s="215"/>
      <c r="C258" s="215"/>
      <c r="D258" s="215"/>
    </row>
    <row r="259" spans="2:4" ht="15.75" customHeight="1" x14ac:dyDescent="0.2">
      <c r="B259" s="215"/>
      <c r="C259" s="215"/>
      <c r="D259" s="215"/>
    </row>
    <row r="260" spans="2:4" ht="15.75" customHeight="1" x14ac:dyDescent="0.2">
      <c r="B260" s="215"/>
      <c r="C260" s="215"/>
      <c r="D260" s="215"/>
    </row>
    <row r="261" spans="2:4" ht="15.75" customHeight="1" x14ac:dyDescent="0.2">
      <c r="B261" s="215"/>
      <c r="C261" s="215"/>
      <c r="D261" s="215"/>
    </row>
    <row r="262" spans="2:4" ht="15.75" customHeight="1" x14ac:dyDescent="0.2">
      <c r="B262" s="215"/>
      <c r="C262" s="215"/>
      <c r="D262" s="215"/>
    </row>
    <row r="263" spans="2:4" ht="15.75" customHeight="1" x14ac:dyDescent="0.2">
      <c r="B263" s="215"/>
      <c r="C263" s="215"/>
      <c r="D263" s="215"/>
    </row>
    <row r="264" spans="2:4" ht="15.75" customHeight="1" x14ac:dyDescent="0.2">
      <c r="B264" s="215"/>
      <c r="C264" s="215"/>
      <c r="D264" s="215"/>
    </row>
    <row r="265" spans="2:4" ht="15.75" customHeight="1" x14ac:dyDescent="0.2">
      <c r="B265" s="215"/>
      <c r="C265" s="215"/>
      <c r="D265" s="215"/>
    </row>
    <row r="266" spans="2:4" ht="15.75" customHeight="1" x14ac:dyDescent="0.2">
      <c r="B266" s="215"/>
      <c r="C266" s="215"/>
      <c r="D266" s="215"/>
    </row>
    <row r="267" spans="2:4" ht="15.75" customHeight="1" x14ac:dyDescent="0.2">
      <c r="B267" s="215"/>
      <c r="C267" s="215"/>
      <c r="D267" s="215"/>
    </row>
    <row r="268" spans="2:4" ht="15.75" customHeight="1" x14ac:dyDescent="0.2">
      <c r="B268" s="215"/>
      <c r="C268" s="215"/>
      <c r="D268" s="215"/>
    </row>
    <row r="269" spans="2:4" ht="15.75" customHeight="1" x14ac:dyDescent="0.2">
      <c r="B269" s="215"/>
      <c r="C269" s="215"/>
      <c r="D269" s="215"/>
    </row>
    <row r="270" spans="2:4" ht="15.75" customHeight="1" x14ac:dyDescent="0.2">
      <c r="B270" s="215"/>
      <c r="C270" s="215"/>
      <c r="D270" s="215"/>
    </row>
    <row r="271" spans="2:4" ht="15.75" customHeight="1" x14ac:dyDescent="0.2">
      <c r="B271" s="215"/>
      <c r="C271" s="215"/>
      <c r="D271" s="215"/>
    </row>
    <row r="272" spans="2:4" ht="15.75" customHeight="1" x14ac:dyDescent="0.2">
      <c r="B272" s="215"/>
      <c r="C272" s="215"/>
      <c r="D272" s="215"/>
    </row>
    <row r="273" spans="2:4" ht="15.75" customHeight="1" x14ac:dyDescent="0.2">
      <c r="B273" s="215"/>
      <c r="C273" s="215"/>
      <c r="D273" s="215"/>
    </row>
    <row r="274" spans="2:4" ht="15.75" customHeight="1" x14ac:dyDescent="0.2">
      <c r="B274" s="215"/>
      <c r="C274" s="215"/>
      <c r="D274" s="215"/>
    </row>
    <row r="275" spans="2:4" ht="15.75" customHeight="1" x14ac:dyDescent="0.2">
      <c r="B275" s="215"/>
      <c r="C275" s="215"/>
      <c r="D275" s="215"/>
    </row>
    <row r="276" spans="2:4" ht="15.75" customHeight="1" x14ac:dyDescent="0.2">
      <c r="B276" s="215"/>
      <c r="C276" s="215"/>
      <c r="D276" s="215"/>
    </row>
    <row r="277" spans="2:4" ht="15.75" customHeight="1" x14ac:dyDescent="0.2">
      <c r="B277" s="215"/>
      <c r="C277" s="215"/>
      <c r="D277" s="215"/>
    </row>
    <row r="278" spans="2:4" ht="15.75" customHeight="1" x14ac:dyDescent="0.2">
      <c r="B278" s="215"/>
      <c r="C278" s="215"/>
      <c r="D278" s="215"/>
    </row>
    <row r="279" spans="2:4" ht="15.75" customHeight="1" x14ac:dyDescent="0.2">
      <c r="B279" s="215"/>
      <c r="C279" s="215"/>
      <c r="D279" s="215"/>
    </row>
    <row r="280" spans="2:4" ht="15.75" customHeight="1" x14ac:dyDescent="0.2">
      <c r="B280" s="215"/>
      <c r="C280" s="215"/>
      <c r="D280" s="215"/>
    </row>
    <row r="281" spans="2:4" ht="15.75" customHeight="1" x14ac:dyDescent="0.2">
      <c r="B281" s="215"/>
      <c r="C281" s="215"/>
      <c r="D281" s="215"/>
    </row>
    <row r="282" spans="2:4" ht="15.75" customHeight="1" x14ac:dyDescent="0.2">
      <c r="B282" s="215"/>
      <c r="C282" s="215"/>
      <c r="D282" s="215"/>
    </row>
    <row r="283" spans="2:4" ht="15.75" customHeight="1" x14ac:dyDescent="0.2">
      <c r="B283" s="215"/>
      <c r="C283" s="215"/>
      <c r="D283" s="215"/>
    </row>
    <row r="284" spans="2:4" ht="15.75" customHeight="1" x14ac:dyDescent="0.2">
      <c r="B284" s="215"/>
      <c r="C284" s="215"/>
      <c r="D284" s="215"/>
    </row>
    <row r="285" spans="2:4" ht="15.75" customHeight="1" x14ac:dyDescent="0.2">
      <c r="B285" s="215"/>
      <c r="C285" s="215"/>
      <c r="D285" s="215"/>
    </row>
    <row r="286" spans="2:4" ht="15.75" customHeight="1" x14ac:dyDescent="0.2">
      <c r="B286" s="215"/>
      <c r="C286" s="215"/>
      <c r="D286" s="215"/>
    </row>
    <row r="287" spans="2:4" ht="15.75" customHeight="1" x14ac:dyDescent="0.2">
      <c r="B287" s="215"/>
      <c r="C287" s="215"/>
      <c r="D287" s="215"/>
    </row>
    <row r="288" spans="2:4" ht="15.75" customHeight="1" x14ac:dyDescent="0.2">
      <c r="B288" s="215"/>
      <c r="C288" s="215"/>
      <c r="D288" s="215"/>
    </row>
    <row r="289" spans="2:4" ht="15.75" customHeight="1" x14ac:dyDescent="0.2">
      <c r="B289" s="215"/>
      <c r="C289" s="215"/>
      <c r="D289" s="215"/>
    </row>
    <row r="290" spans="2:4" ht="15.75" customHeight="1" x14ac:dyDescent="0.2">
      <c r="B290" s="215"/>
      <c r="C290" s="215"/>
      <c r="D290" s="215"/>
    </row>
    <row r="291" spans="2:4" ht="15.75" customHeight="1" x14ac:dyDescent="0.2">
      <c r="B291" s="215"/>
      <c r="C291" s="215"/>
      <c r="D291" s="215"/>
    </row>
    <row r="292" spans="2:4" ht="15.75" customHeight="1" x14ac:dyDescent="0.2">
      <c r="B292" s="215"/>
      <c r="C292" s="215"/>
      <c r="D292" s="215"/>
    </row>
    <row r="293" spans="2:4" ht="15.75" customHeight="1" x14ac:dyDescent="0.2">
      <c r="B293" s="215"/>
      <c r="C293" s="215"/>
      <c r="D293" s="215"/>
    </row>
    <row r="294" spans="2:4" ht="15.75" customHeight="1" x14ac:dyDescent="0.2">
      <c r="B294" s="215"/>
      <c r="C294" s="215"/>
      <c r="D294" s="215"/>
    </row>
    <row r="295" spans="2:4" ht="15.75" customHeight="1" x14ac:dyDescent="0.2">
      <c r="B295" s="215"/>
      <c r="C295" s="215"/>
      <c r="D295" s="215"/>
    </row>
    <row r="296" spans="2:4" ht="15.75" customHeight="1" x14ac:dyDescent="0.2">
      <c r="B296" s="215"/>
      <c r="C296" s="215"/>
      <c r="D296" s="215"/>
    </row>
    <row r="297" spans="2:4" ht="15.75" customHeight="1" x14ac:dyDescent="0.2">
      <c r="B297" s="215"/>
      <c r="C297" s="215"/>
      <c r="D297" s="215"/>
    </row>
    <row r="298" spans="2:4" ht="15.75" customHeight="1" x14ac:dyDescent="0.2">
      <c r="B298" s="215"/>
      <c r="C298" s="215"/>
      <c r="D298" s="215"/>
    </row>
    <row r="299" spans="2:4" ht="15.75" customHeight="1" x14ac:dyDescent="0.2">
      <c r="B299" s="215"/>
      <c r="C299" s="215"/>
      <c r="D299" s="215"/>
    </row>
    <row r="300" spans="2:4" ht="15.75" customHeight="1" x14ac:dyDescent="0.2">
      <c r="B300" s="215"/>
      <c r="C300" s="215"/>
      <c r="D300" s="215"/>
    </row>
    <row r="301" spans="2:4" ht="15.75" customHeight="1" x14ac:dyDescent="0.2">
      <c r="B301" s="215"/>
      <c r="C301" s="215"/>
      <c r="D301" s="215"/>
    </row>
    <row r="302" spans="2:4" ht="15.75" customHeight="1" x14ac:dyDescent="0.2">
      <c r="B302" s="215"/>
      <c r="C302" s="215"/>
      <c r="D302" s="215"/>
    </row>
    <row r="303" spans="2:4" ht="15.75" customHeight="1" x14ac:dyDescent="0.2">
      <c r="B303" s="215"/>
      <c r="C303" s="215"/>
      <c r="D303" s="215"/>
    </row>
    <row r="304" spans="2:4" ht="15.75" customHeight="1" x14ac:dyDescent="0.2">
      <c r="B304" s="215"/>
      <c r="C304" s="215"/>
      <c r="D304" s="215"/>
    </row>
    <row r="305" spans="2:4" ht="15.75" customHeight="1" x14ac:dyDescent="0.2">
      <c r="B305" s="215"/>
      <c r="C305" s="215"/>
      <c r="D305" s="215"/>
    </row>
    <row r="306" spans="2:4" ht="15.75" customHeight="1" x14ac:dyDescent="0.2">
      <c r="B306" s="215"/>
      <c r="C306" s="215"/>
      <c r="D306" s="215"/>
    </row>
    <row r="307" spans="2:4" ht="15.75" customHeight="1" x14ac:dyDescent="0.2">
      <c r="B307" s="215"/>
      <c r="C307" s="215"/>
      <c r="D307" s="215"/>
    </row>
    <row r="308" spans="2:4" ht="15.75" customHeight="1" x14ac:dyDescent="0.2">
      <c r="B308" s="215"/>
      <c r="C308" s="215"/>
      <c r="D308" s="215"/>
    </row>
    <row r="309" spans="2:4" ht="15.75" customHeight="1" x14ac:dyDescent="0.2">
      <c r="B309" s="215"/>
      <c r="C309" s="215"/>
      <c r="D309" s="215"/>
    </row>
    <row r="310" spans="2:4" ht="15.75" customHeight="1" x14ac:dyDescent="0.2">
      <c r="B310" s="215"/>
      <c r="C310" s="215"/>
      <c r="D310" s="215"/>
    </row>
    <row r="311" spans="2:4" ht="15.75" customHeight="1" x14ac:dyDescent="0.2">
      <c r="B311" s="215"/>
      <c r="C311" s="215"/>
      <c r="D311" s="215"/>
    </row>
    <row r="312" spans="2:4" ht="15.75" customHeight="1" x14ac:dyDescent="0.2">
      <c r="B312" s="215"/>
      <c r="C312" s="215"/>
      <c r="D312" s="215"/>
    </row>
    <row r="313" spans="2:4" ht="15.75" customHeight="1" x14ac:dyDescent="0.2">
      <c r="B313" s="215"/>
      <c r="C313" s="215"/>
      <c r="D313" s="215"/>
    </row>
    <row r="314" spans="2:4" ht="15.75" customHeight="1" x14ac:dyDescent="0.2">
      <c r="B314" s="215"/>
      <c r="C314" s="215"/>
      <c r="D314" s="215"/>
    </row>
    <row r="315" spans="2:4" ht="15.75" customHeight="1" x14ac:dyDescent="0.2">
      <c r="B315" s="215"/>
      <c r="C315" s="215"/>
      <c r="D315" s="215"/>
    </row>
    <row r="316" spans="2:4" ht="15.75" customHeight="1" x14ac:dyDescent="0.2">
      <c r="B316" s="215"/>
      <c r="C316" s="215"/>
      <c r="D316" s="215"/>
    </row>
    <row r="317" spans="2:4" ht="15.75" customHeight="1" x14ac:dyDescent="0.2">
      <c r="B317" s="215"/>
      <c r="C317" s="215"/>
      <c r="D317" s="215"/>
    </row>
    <row r="318" spans="2:4" ht="15.75" customHeight="1" x14ac:dyDescent="0.2">
      <c r="B318" s="215"/>
      <c r="C318" s="215"/>
      <c r="D318" s="215"/>
    </row>
    <row r="319" spans="2:4" ht="15.75" customHeight="1" x14ac:dyDescent="0.2">
      <c r="B319" s="215"/>
      <c r="C319" s="215"/>
      <c r="D319" s="215"/>
    </row>
    <row r="320" spans="2:4" ht="15.75" customHeight="1" x14ac:dyDescent="0.2">
      <c r="B320" s="215"/>
      <c r="C320" s="215"/>
      <c r="D320" s="215"/>
    </row>
    <row r="321" spans="2:4" ht="15.75" customHeight="1" x14ac:dyDescent="0.2">
      <c r="B321" s="215"/>
      <c r="C321" s="215"/>
      <c r="D321" s="215"/>
    </row>
    <row r="322" spans="2:4" ht="15.75" customHeight="1" x14ac:dyDescent="0.2">
      <c r="B322" s="215"/>
      <c r="C322" s="215"/>
      <c r="D322" s="215"/>
    </row>
    <row r="323" spans="2:4" ht="15.75" customHeight="1" x14ac:dyDescent="0.2">
      <c r="B323" s="215"/>
      <c r="C323" s="215"/>
      <c r="D323" s="215"/>
    </row>
    <row r="324" spans="2:4" ht="15.75" customHeight="1" x14ac:dyDescent="0.2">
      <c r="B324" s="215"/>
      <c r="C324" s="215"/>
      <c r="D324" s="215"/>
    </row>
    <row r="325" spans="2:4" ht="15.75" customHeight="1" x14ac:dyDescent="0.2">
      <c r="B325" s="215"/>
      <c r="C325" s="215"/>
      <c r="D325" s="215"/>
    </row>
    <row r="326" spans="2:4" ht="15.75" customHeight="1" x14ac:dyDescent="0.2">
      <c r="B326" s="215"/>
      <c r="C326" s="215"/>
      <c r="D326" s="215"/>
    </row>
    <row r="327" spans="2:4" ht="15.75" customHeight="1" x14ac:dyDescent="0.2">
      <c r="B327" s="215"/>
      <c r="C327" s="215"/>
      <c r="D327" s="215"/>
    </row>
    <row r="328" spans="2:4" ht="15.75" customHeight="1" x14ac:dyDescent="0.2">
      <c r="B328" s="215"/>
      <c r="C328" s="215"/>
      <c r="D328" s="215"/>
    </row>
    <row r="329" spans="2:4" ht="15.75" customHeight="1" x14ac:dyDescent="0.2">
      <c r="B329" s="215"/>
      <c r="C329" s="215"/>
      <c r="D329" s="215"/>
    </row>
    <row r="330" spans="2:4" ht="15.75" customHeight="1" x14ac:dyDescent="0.2">
      <c r="B330" s="215"/>
      <c r="C330" s="215"/>
      <c r="D330" s="215"/>
    </row>
    <row r="331" spans="2:4" ht="15.75" customHeight="1" x14ac:dyDescent="0.2">
      <c r="B331" s="215"/>
      <c r="C331" s="215"/>
      <c r="D331" s="215"/>
    </row>
    <row r="332" spans="2:4" ht="15.75" customHeight="1" x14ac:dyDescent="0.2">
      <c r="B332" s="215"/>
      <c r="C332" s="215"/>
      <c r="D332" s="215"/>
    </row>
    <row r="333" spans="2:4" ht="15.75" customHeight="1" x14ac:dyDescent="0.2">
      <c r="B333" s="215"/>
      <c r="C333" s="215"/>
      <c r="D333" s="215"/>
    </row>
    <row r="334" spans="2:4" ht="15.75" customHeight="1" x14ac:dyDescent="0.2">
      <c r="B334" s="215"/>
      <c r="C334" s="215"/>
      <c r="D334" s="215"/>
    </row>
    <row r="335" spans="2:4" ht="15.75" customHeight="1" x14ac:dyDescent="0.2">
      <c r="B335" s="215"/>
      <c r="C335" s="215"/>
      <c r="D335" s="215"/>
    </row>
    <row r="336" spans="2:4" ht="15.75" customHeight="1" x14ac:dyDescent="0.2">
      <c r="B336" s="215"/>
      <c r="C336" s="215"/>
      <c r="D336" s="215"/>
    </row>
    <row r="337" spans="2:4" ht="15.75" customHeight="1" x14ac:dyDescent="0.2">
      <c r="B337" s="215"/>
      <c r="C337" s="215"/>
      <c r="D337" s="215"/>
    </row>
    <row r="338" spans="2:4" ht="15.75" customHeight="1" x14ac:dyDescent="0.2">
      <c r="B338" s="215"/>
      <c r="C338" s="215"/>
      <c r="D338" s="215"/>
    </row>
    <row r="339" spans="2:4" ht="15.75" customHeight="1" x14ac:dyDescent="0.2">
      <c r="B339" s="215"/>
      <c r="C339" s="215"/>
      <c r="D339" s="215"/>
    </row>
    <row r="340" spans="2:4" ht="15.75" customHeight="1" x14ac:dyDescent="0.2">
      <c r="B340" s="215"/>
      <c r="C340" s="215"/>
      <c r="D340" s="215"/>
    </row>
    <row r="341" spans="2:4" ht="15.75" customHeight="1" x14ac:dyDescent="0.2">
      <c r="B341" s="215"/>
      <c r="C341" s="215"/>
      <c r="D341" s="215"/>
    </row>
    <row r="342" spans="2:4" ht="15.75" customHeight="1" x14ac:dyDescent="0.2">
      <c r="B342" s="215"/>
      <c r="C342" s="215"/>
      <c r="D342" s="215"/>
    </row>
    <row r="343" spans="2:4" ht="15.75" customHeight="1" x14ac:dyDescent="0.2">
      <c r="B343" s="215"/>
      <c r="C343" s="215"/>
      <c r="D343" s="215"/>
    </row>
    <row r="344" spans="2:4" ht="15.75" customHeight="1" x14ac:dyDescent="0.2">
      <c r="B344" s="215"/>
      <c r="C344" s="215"/>
      <c r="D344" s="215"/>
    </row>
    <row r="345" spans="2:4" ht="15.75" customHeight="1" x14ac:dyDescent="0.2">
      <c r="B345" s="215"/>
      <c r="C345" s="215"/>
      <c r="D345" s="215"/>
    </row>
    <row r="346" spans="2:4" ht="15.75" customHeight="1" x14ac:dyDescent="0.2">
      <c r="B346" s="215"/>
      <c r="C346" s="215"/>
      <c r="D346" s="215"/>
    </row>
    <row r="347" spans="2:4" ht="15.75" customHeight="1" x14ac:dyDescent="0.2">
      <c r="B347" s="215"/>
      <c r="C347" s="215"/>
      <c r="D347" s="215"/>
    </row>
    <row r="348" spans="2:4" ht="15.75" customHeight="1" x14ac:dyDescent="0.2">
      <c r="B348" s="215"/>
      <c r="C348" s="215"/>
      <c r="D348" s="215"/>
    </row>
    <row r="349" spans="2:4" ht="15.75" customHeight="1" x14ac:dyDescent="0.2">
      <c r="B349" s="215"/>
      <c r="C349" s="215"/>
      <c r="D349" s="215"/>
    </row>
    <row r="350" spans="2:4" ht="15.75" customHeight="1" x14ac:dyDescent="0.2">
      <c r="B350" s="215"/>
      <c r="C350" s="215"/>
      <c r="D350" s="215"/>
    </row>
    <row r="351" spans="2:4" ht="15.75" customHeight="1" x14ac:dyDescent="0.2">
      <c r="B351" s="215"/>
      <c r="C351" s="215"/>
      <c r="D351" s="215"/>
    </row>
    <row r="352" spans="2:4" ht="15.75" customHeight="1" x14ac:dyDescent="0.2">
      <c r="B352" s="215"/>
      <c r="C352" s="215"/>
      <c r="D352" s="215"/>
    </row>
    <row r="353" spans="2:4" ht="15.75" customHeight="1" x14ac:dyDescent="0.2">
      <c r="B353" s="215"/>
      <c r="C353" s="215"/>
      <c r="D353" s="215"/>
    </row>
    <row r="354" spans="2:4" ht="15.75" customHeight="1" x14ac:dyDescent="0.2">
      <c r="B354" s="215"/>
      <c r="C354" s="215"/>
      <c r="D354" s="215"/>
    </row>
    <row r="355" spans="2:4" ht="15.75" customHeight="1" x14ac:dyDescent="0.2">
      <c r="B355" s="215"/>
      <c r="C355" s="215"/>
      <c r="D355" s="215"/>
    </row>
    <row r="356" spans="2:4" ht="15.75" customHeight="1" x14ac:dyDescent="0.2">
      <c r="B356" s="215"/>
      <c r="C356" s="215"/>
      <c r="D356" s="215"/>
    </row>
    <row r="357" spans="2:4" ht="15.75" customHeight="1" x14ac:dyDescent="0.2">
      <c r="B357" s="215"/>
      <c r="C357" s="215"/>
      <c r="D357" s="215"/>
    </row>
    <row r="358" spans="2:4" ht="15.75" customHeight="1" x14ac:dyDescent="0.2">
      <c r="B358" s="215"/>
      <c r="C358" s="215"/>
      <c r="D358" s="215"/>
    </row>
    <row r="359" spans="2:4" ht="15.75" customHeight="1" x14ac:dyDescent="0.2">
      <c r="B359" s="215"/>
      <c r="C359" s="215"/>
      <c r="D359" s="215"/>
    </row>
    <row r="360" spans="2:4" ht="15.75" customHeight="1" x14ac:dyDescent="0.2">
      <c r="B360" s="215"/>
      <c r="C360" s="215"/>
      <c r="D360" s="215"/>
    </row>
    <row r="361" spans="2:4" ht="15.75" customHeight="1" x14ac:dyDescent="0.2">
      <c r="B361" s="215"/>
      <c r="C361" s="215"/>
      <c r="D361" s="215"/>
    </row>
    <row r="362" spans="2:4" ht="15.75" customHeight="1" x14ac:dyDescent="0.2">
      <c r="B362" s="215"/>
      <c r="C362" s="215"/>
      <c r="D362" s="215"/>
    </row>
    <row r="363" spans="2:4" ht="15.75" customHeight="1" x14ac:dyDescent="0.2">
      <c r="B363" s="215"/>
      <c r="C363" s="215"/>
      <c r="D363" s="215"/>
    </row>
    <row r="364" spans="2:4" ht="15.75" customHeight="1" x14ac:dyDescent="0.2">
      <c r="B364" s="215"/>
      <c r="C364" s="215"/>
      <c r="D364" s="215"/>
    </row>
    <row r="365" spans="2:4" ht="15.75" customHeight="1" x14ac:dyDescent="0.2">
      <c r="B365" s="215"/>
      <c r="C365" s="215"/>
      <c r="D365" s="215"/>
    </row>
    <row r="366" spans="2:4" ht="15.75" customHeight="1" x14ac:dyDescent="0.2">
      <c r="B366" s="215"/>
      <c r="C366" s="215"/>
      <c r="D366" s="215"/>
    </row>
    <row r="367" spans="2:4" ht="15.75" customHeight="1" x14ac:dyDescent="0.2">
      <c r="B367" s="215"/>
      <c r="C367" s="215"/>
      <c r="D367" s="215"/>
    </row>
    <row r="368" spans="2:4" ht="15.75" customHeight="1" x14ac:dyDescent="0.2">
      <c r="B368" s="215"/>
      <c r="C368" s="215"/>
      <c r="D368" s="215"/>
    </row>
    <row r="369" spans="2:4" ht="15.75" customHeight="1" x14ac:dyDescent="0.2">
      <c r="B369" s="215"/>
      <c r="C369" s="215"/>
      <c r="D369" s="215"/>
    </row>
    <row r="370" spans="2:4" ht="15.75" customHeight="1" x14ac:dyDescent="0.2">
      <c r="B370" s="215"/>
      <c r="C370" s="215"/>
      <c r="D370" s="215"/>
    </row>
    <row r="371" spans="2:4" ht="15.75" customHeight="1" x14ac:dyDescent="0.2">
      <c r="B371" s="215"/>
      <c r="C371" s="215"/>
      <c r="D371" s="215"/>
    </row>
    <row r="372" spans="2:4" ht="15.75" customHeight="1" x14ac:dyDescent="0.2">
      <c r="B372" s="215"/>
      <c r="C372" s="215"/>
      <c r="D372" s="215"/>
    </row>
    <row r="373" spans="2:4" ht="15.75" customHeight="1" x14ac:dyDescent="0.2">
      <c r="B373" s="215"/>
      <c r="C373" s="215"/>
      <c r="D373" s="215"/>
    </row>
    <row r="374" spans="2:4" ht="15.75" customHeight="1" x14ac:dyDescent="0.2">
      <c r="B374" s="215"/>
      <c r="C374" s="215"/>
      <c r="D374" s="215"/>
    </row>
    <row r="375" spans="2:4" ht="15.75" customHeight="1" x14ac:dyDescent="0.2">
      <c r="B375" s="215"/>
      <c r="C375" s="215"/>
      <c r="D375" s="215"/>
    </row>
    <row r="376" spans="2:4" ht="15.75" customHeight="1" x14ac:dyDescent="0.2">
      <c r="B376" s="215"/>
      <c r="C376" s="215"/>
      <c r="D376" s="215"/>
    </row>
    <row r="377" spans="2:4" ht="15.75" customHeight="1" x14ac:dyDescent="0.2">
      <c r="B377" s="215"/>
      <c r="C377" s="215"/>
      <c r="D377" s="215"/>
    </row>
    <row r="378" spans="2:4" ht="15.75" customHeight="1" x14ac:dyDescent="0.2">
      <c r="B378" s="215"/>
      <c r="C378" s="215"/>
      <c r="D378" s="215"/>
    </row>
    <row r="379" spans="2:4" ht="15.75" customHeight="1" x14ac:dyDescent="0.2">
      <c r="B379" s="215"/>
      <c r="C379" s="215"/>
      <c r="D379" s="215"/>
    </row>
    <row r="380" spans="2:4" ht="15.75" customHeight="1" x14ac:dyDescent="0.2">
      <c r="B380" s="215"/>
      <c r="C380" s="215"/>
      <c r="D380" s="215"/>
    </row>
    <row r="381" spans="2:4" ht="15.75" customHeight="1" x14ac:dyDescent="0.2">
      <c r="B381" s="215"/>
      <c r="C381" s="215"/>
      <c r="D381" s="215"/>
    </row>
    <row r="382" spans="2:4" ht="15.75" customHeight="1" x14ac:dyDescent="0.2">
      <c r="B382" s="215"/>
      <c r="C382" s="215"/>
      <c r="D382" s="215"/>
    </row>
    <row r="383" spans="2:4" ht="15.75" customHeight="1" x14ac:dyDescent="0.2">
      <c r="B383" s="215"/>
      <c r="C383" s="215"/>
      <c r="D383" s="215"/>
    </row>
    <row r="384" spans="2:4" ht="15.75" customHeight="1" x14ac:dyDescent="0.2">
      <c r="B384" s="215"/>
      <c r="C384" s="215"/>
      <c r="D384" s="215"/>
    </row>
    <row r="385" spans="2:4" ht="15.75" customHeight="1" x14ac:dyDescent="0.2">
      <c r="B385" s="215"/>
      <c r="C385" s="215"/>
      <c r="D385" s="215"/>
    </row>
    <row r="386" spans="2:4" ht="15.75" customHeight="1" x14ac:dyDescent="0.2">
      <c r="B386" s="215"/>
      <c r="C386" s="215"/>
      <c r="D386" s="215"/>
    </row>
    <row r="387" spans="2:4" ht="15.75" customHeight="1" x14ac:dyDescent="0.2">
      <c r="B387" s="215"/>
      <c r="C387" s="215"/>
      <c r="D387" s="215"/>
    </row>
    <row r="388" spans="2:4" ht="15.75" customHeight="1" x14ac:dyDescent="0.2">
      <c r="B388" s="215"/>
      <c r="C388" s="215"/>
      <c r="D388" s="215"/>
    </row>
    <row r="389" spans="2:4" ht="15.75" customHeight="1" x14ac:dyDescent="0.2">
      <c r="B389" s="215"/>
      <c r="C389" s="215"/>
      <c r="D389" s="215"/>
    </row>
    <row r="390" spans="2:4" ht="15.75" customHeight="1" x14ac:dyDescent="0.2">
      <c r="B390" s="215"/>
      <c r="C390" s="215"/>
      <c r="D390" s="215"/>
    </row>
    <row r="391" spans="2:4" ht="15.75" customHeight="1" x14ac:dyDescent="0.2">
      <c r="B391" s="215"/>
      <c r="C391" s="215"/>
      <c r="D391" s="215"/>
    </row>
    <row r="392" spans="2:4" ht="15.75" customHeight="1" x14ac:dyDescent="0.2">
      <c r="B392" s="215"/>
      <c r="C392" s="215"/>
      <c r="D392" s="215"/>
    </row>
    <row r="393" spans="2:4" ht="15.75" customHeight="1" x14ac:dyDescent="0.2">
      <c r="B393" s="215"/>
      <c r="C393" s="215"/>
      <c r="D393" s="215"/>
    </row>
    <row r="394" spans="2:4" ht="15.75" customHeight="1" x14ac:dyDescent="0.2">
      <c r="B394" s="215"/>
      <c r="C394" s="215"/>
      <c r="D394" s="215"/>
    </row>
    <row r="395" spans="2:4" ht="15.75" customHeight="1" x14ac:dyDescent="0.2">
      <c r="B395" s="215"/>
      <c r="C395" s="215"/>
      <c r="D395" s="215"/>
    </row>
    <row r="396" spans="2:4" ht="15.75" customHeight="1" x14ac:dyDescent="0.2">
      <c r="B396" s="215"/>
      <c r="C396" s="215"/>
      <c r="D396" s="215"/>
    </row>
    <row r="397" spans="2:4" ht="15.75" customHeight="1" x14ac:dyDescent="0.2">
      <c r="B397" s="215"/>
      <c r="C397" s="215"/>
      <c r="D397" s="215"/>
    </row>
    <row r="398" spans="2:4" ht="15.75" customHeight="1" x14ac:dyDescent="0.2">
      <c r="B398" s="215"/>
      <c r="C398" s="215"/>
      <c r="D398" s="215"/>
    </row>
    <row r="399" spans="2:4" ht="15.75" customHeight="1" x14ac:dyDescent="0.2">
      <c r="B399" s="215"/>
      <c r="C399" s="215"/>
      <c r="D399" s="215"/>
    </row>
    <row r="400" spans="2:4" ht="15.75" customHeight="1" x14ac:dyDescent="0.2">
      <c r="B400" s="215"/>
      <c r="C400" s="215"/>
      <c r="D400" s="215"/>
    </row>
    <row r="401" spans="2:4" ht="15.75" customHeight="1" x14ac:dyDescent="0.2">
      <c r="B401" s="215"/>
      <c r="C401" s="215"/>
      <c r="D401" s="215"/>
    </row>
    <row r="402" spans="2:4" ht="15.75" customHeight="1" x14ac:dyDescent="0.2">
      <c r="B402" s="215"/>
      <c r="C402" s="215"/>
      <c r="D402" s="215"/>
    </row>
    <row r="403" spans="2:4" ht="15.75" customHeight="1" x14ac:dyDescent="0.2">
      <c r="B403" s="215"/>
      <c r="C403" s="215"/>
      <c r="D403" s="215"/>
    </row>
    <row r="404" spans="2:4" ht="15.75" customHeight="1" x14ac:dyDescent="0.2">
      <c r="B404" s="215"/>
      <c r="C404" s="215"/>
      <c r="D404" s="215"/>
    </row>
    <row r="405" spans="2:4" ht="15.75" customHeight="1" x14ac:dyDescent="0.2">
      <c r="B405" s="215"/>
      <c r="C405" s="215"/>
      <c r="D405" s="215"/>
    </row>
    <row r="406" spans="2:4" ht="15.75" customHeight="1" x14ac:dyDescent="0.2">
      <c r="B406" s="215"/>
      <c r="C406" s="215"/>
      <c r="D406" s="215"/>
    </row>
    <row r="407" spans="2:4" ht="15.75" customHeight="1" x14ac:dyDescent="0.2">
      <c r="B407" s="215"/>
      <c r="C407" s="215"/>
      <c r="D407" s="215"/>
    </row>
    <row r="408" spans="2:4" ht="15.75" customHeight="1" x14ac:dyDescent="0.2">
      <c r="B408" s="215"/>
      <c r="C408" s="215"/>
      <c r="D408" s="215"/>
    </row>
    <row r="409" spans="2:4" ht="15.75" customHeight="1" x14ac:dyDescent="0.2">
      <c r="B409" s="215"/>
      <c r="C409" s="215"/>
      <c r="D409" s="215"/>
    </row>
    <row r="410" spans="2:4" ht="15.75" customHeight="1" x14ac:dyDescent="0.2">
      <c r="B410" s="215"/>
      <c r="C410" s="215"/>
      <c r="D410" s="215"/>
    </row>
    <row r="411" spans="2:4" ht="15.75" customHeight="1" x14ac:dyDescent="0.2">
      <c r="B411" s="215"/>
      <c r="C411" s="215"/>
      <c r="D411" s="215"/>
    </row>
    <row r="412" spans="2:4" ht="15.75" customHeight="1" x14ac:dyDescent="0.2">
      <c r="B412" s="215"/>
      <c r="C412" s="215"/>
      <c r="D412" s="215"/>
    </row>
    <row r="413" spans="2:4" ht="15.75" customHeight="1" x14ac:dyDescent="0.2">
      <c r="B413" s="215"/>
      <c r="C413" s="215"/>
      <c r="D413" s="215"/>
    </row>
    <row r="414" spans="2:4" ht="15.75" customHeight="1" x14ac:dyDescent="0.2">
      <c r="B414" s="215"/>
      <c r="C414" s="215"/>
      <c r="D414" s="215"/>
    </row>
    <row r="415" spans="2:4" ht="15.75" customHeight="1" x14ac:dyDescent="0.2">
      <c r="B415" s="215"/>
      <c r="C415" s="215"/>
      <c r="D415" s="215"/>
    </row>
    <row r="416" spans="2:4" ht="15.75" customHeight="1" x14ac:dyDescent="0.2">
      <c r="B416" s="215"/>
      <c r="C416" s="215"/>
      <c r="D416" s="215"/>
    </row>
    <row r="417" spans="2:4" ht="15.75" customHeight="1" x14ac:dyDescent="0.2">
      <c r="B417" s="215"/>
      <c r="C417" s="215"/>
      <c r="D417" s="215"/>
    </row>
    <row r="418" spans="2:4" ht="15.75" customHeight="1" x14ac:dyDescent="0.2">
      <c r="B418" s="215"/>
      <c r="C418" s="215"/>
      <c r="D418" s="215"/>
    </row>
    <row r="419" spans="2:4" ht="15.75" customHeight="1" x14ac:dyDescent="0.2">
      <c r="B419" s="215"/>
      <c r="C419" s="215"/>
      <c r="D419" s="215"/>
    </row>
    <row r="420" spans="2:4" ht="15.75" customHeight="1" x14ac:dyDescent="0.2">
      <c r="B420" s="215"/>
      <c r="C420" s="215"/>
      <c r="D420" s="215"/>
    </row>
    <row r="421" spans="2:4" ht="15.75" customHeight="1" x14ac:dyDescent="0.2">
      <c r="B421" s="215"/>
      <c r="C421" s="215"/>
      <c r="D421" s="215"/>
    </row>
    <row r="422" spans="2:4" ht="15.75" customHeight="1" x14ac:dyDescent="0.2">
      <c r="B422" s="215"/>
      <c r="C422" s="215"/>
      <c r="D422" s="215"/>
    </row>
    <row r="423" spans="2:4" ht="15.75" customHeight="1" x14ac:dyDescent="0.2">
      <c r="B423" s="215"/>
      <c r="C423" s="215"/>
      <c r="D423" s="215"/>
    </row>
    <row r="424" spans="2:4" ht="15.75" customHeight="1" x14ac:dyDescent="0.2">
      <c r="B424" s="215"/>
      <c r="C424" s="215"/>
      <c r="D424" s="215"/>
    </row>
    <row r="425" spans="2:4" ht="15.75" customHeight="1" x14ac:dyDescent="0.2">
      <c r="B425" s="215"/>
      <c r="C425" s="215"/>
      <c r="D425" s="215"/>
    </row>
    <row r="426" spans="2:4" ht="15.75" customHeight="1" x14ac:dyDescent="0.2">
      <c r="B426" s="215"/>
      <c r="C426" s="215"/>
      <c r="D426" s="215"/>
    </row>
    <row r="427" spans="2:4" ht="15.75" customHeight="1" x14ac:dyDescent="0.2">
      <c r="B427" s="215"/>
      <c r="C427" s="215"/>
      <c r="D427" s="215"/>
    </row>
    <row r="428" spans="2:4" ht="15.75" customHeight="1" x14ac:dyDescent="0.2">
      <c r="B428" s="215"/>
      <c r="C428" s="215"/>
      <c r="D428" s="215"/>
    </row>
    <row r="429" spans="2:4" ht="15.75" customHeight="1" x14ac:dyDescent="0.2">
      <c r="B429" s="215"/>
      <c r="C429" s="215"/>
      <c r="D429" s="215"/>
    </row>
    <row r="430" spans="2:4" ht="15.75" customHeight="1" x14ac:dyDescent="0.2">
      <c r="B430" s="215"/>
      <c r="C430" s="215"/>
      <c r="D430" s="215"/>
    </row>
    <row r="431" spans="2:4" ht="15.75" customHeight="1" x14ac:dyDescent="0.2">
      <c r="B431" s="215"/>
      <c r="C431" s="215"/>
      <c r="D431" s="215"/>
    </row>
    <row r="432" spans="2:4" ht="15.75" customHeight="1" x14ac:dyDescent="0.2">
      <c r="B432" s="215"/>
      <c r="C432" s="215"/>
      <c r="D432" s="215"/>
    </row>
    <row r="433" spans="2:4" ht="15.75" customHeight="1" x14ac:dyDescent="0.2">
      <c r="B433" s="215"/>
      <c r="C433" s="215"/>
      <c r="D433" s="215"/>
    </row>
    <row r="434" spans="2:4" ht="15.75" customHeight="1" x14ac:dyDescent="0.2">
      <c r="B434" s="215"/>
      <c r="C434" s="215"/>
      <c r="D434" s="215"/>
    </row>
    <row r="435" spans="2:4" ht="15.75" customHeight="1" x14ac:dyDescent="0.2">
      <c r="B435" s="215"/>
      <c r="C435" s="215"/>
      <c r="D435" s="215"/>
    </row>
    <row r="436" spans="2:4" ht="15.75" customHeight="1" x14ac:dyDescent="0.2">
      <c r="B436" s="215"/>
      <c r="C436" s="215"/>
      <c r="D436" s="215"/>
    </row>
    <row r="437" spans="2:4" ht="15.75" customHeight="1" x14ac:dyDescent="0.2">
      <c r="B437" s="215"/>
      <c r="C437" s="215"/>
      <c r="D437" s="215"/>
    </row>
    <row r="438" spans="2:4" ht="15.75" customHeight="1" x14ac:dyDescent="0.2">
      <c r="B438" s="215"/>
      <c r="C438" s="215"/>
      <c r="D438" s="215"/>
    </row>
    <row r="439" spans="2:4" ht="15.75" customHeight="1" x14ac:dyDescent="0.2">
      <c r="B439" s="215"/>
      <c r="C439" s="215"/>
      <c r="D439" s="215"/>
    </row>
    <row r="440" spans="2:4" ht="15.75" customHeight="1" x14ac:dyDescent="0.2">
      <c r="B440" s="215"/>
      <c r="C440" s="215"/>
      <c r="D440" s="215"/>
    </row>
    <row r="441" spans="2:4" ht="15.75" customHeight="1" x14ac:dyDescent="0.2">
      <c r="B441" s="215"/>
      <c r="C441" s="215"/>
      <c r="D441" s="215"/>
    </row>
    <row r="442" spans="2:4" ht="15.75" customHeight="1" x14ac:dyDescent="0.2">
      <c r="B442" s="215"/>
      <c r="C442" s="215"/>
      <c r="D442" s="215"/>
    </row>
    <row r="443" spans="2:4" ht="15.75" customHeight="1" x14ac:dyDescent="0.2">
      <c r="B443" s="215"/>
      <c r="C443" s="215"/>
      <c r="D443" s="215"/>
    </row>
    <row r="444" spans="2:4" ht="15.75" customHeight="1" x14ac:dyDescent="0.2">
      <c r="B444" s="215"/>
      <c r="C444" s="215"/>
      <c r="D444" s="215"/>
    </row>
    <row r="445" spans="2:4" ht="15.75" customHeight="1" x14ac:dyDescent="0.2">
      <c r="B445" s="215"/>
      <c r="C445" s="215"/>
      <c r="D445" s="215"/>
    </row>
    <row r="446" spans="2:4" ht="15.75" customHeight="1" x14ac:dyDescent="0.2">
      <c r="B446" s="215"/>
      <c r="C446" s="215"/>
      <c r="D446" s="215"/>
    </row>
    <row r="447" spans="2:4" ht="15.75" customHeight="1" x14ac:dyDescent="0.2">
      <c r="B447" s="215"/>
      <c r="C447" s="215"/>
      <c r="D447" s="215"/>
    </row>
    <row r="448" spans="2:4" ht="15.75" customHeight="1" x14ac:dyDescent="0.2">
      <c r="B448" s="215"/>
      <c r="C448" s="215"/>
      <c r="D448" s="215"/>
    </row>
    <row r="449" spans="2:4" ht="15.75" customHeight="1" x14ac:dyDescent="0.2">
      <c r="B449" s="215"/>
      <c r="C449" s="215"/>
      <c r="D449" s="215"/>
    </row>
    <row r="450" spans="2:4" ht="15.75" customHeight="1" x14ac:dyDescent="0.2">
      <c r="B450" s="215"/>
      <c r="C450" s="215"/>
      <c r="D450" s="215"/>
    </row>
    <row r="451" spans="2:4" ht="15.75" customHeight="1" x14ac:dyDescent="0.2">
      <c r="B451" s="215"/>
      <c r="C451" s="215"/>
      <c r="D451" s="215"/>
    </row>
    <row r="452" spans="2:4" ht="15.75" customHeight="1" x14ac:dyDescent="0.2">
      <c r="B452" s="215"/>
      <c r="C452" s="215"/>
      <c r="D452" s="215"/>
    </row>
    <row r="453" spans="2:4" ht="15.75" customHeight="1" x14ac:dyDescent="0.2">
      <c r="B453" s="215"/>
      <c r="C453" s="215"/>
      <c r="D453" s="215"/>
    </row>
    <row r="454" spans="2:4" ht="15.75" customHeight="1" x14ac:dyDescent="0.2">
      <c r="B454" s="215"/>
      <c r="C454" s="215"/>
      <c r="D454" s="215"/>
    </row>
    <row r="455" spans="2:4" ht="15.75" customHeight="1" x14ac:dyDescent="0.2">
      <c r="B455" s="215"/>
      <c r="C455" s="215"/>
      <c r="D455" s="215"/>
    </row>
    <row r="456" spans="2:4" ht="15.75" customHeight="1" x14ac:dyDescent="0.2">
      <c r="B456" s="215"/>
      <c r="C456" s="215"/>
      <c r="D456" s="215"/>
    </row>
    <row r="457" spans="2:4" ht="15.75" customHeight="1" x14ac:dyDescent="0.2">
      <c r="B457" s="215"/>
      <c r="C457" s="215"/>
      <c r="D457" s="215"/>
    </row>
    <row r="458" spans="2:4" ht="15.75" customHeight="1" x14ac:dyDescent="0.2">
      <c r="B458" s="215"/>
      <c r="C458" s="215"/>
      <c r="D458" s="215"/>
    </row>
    <row r="459" spans="2:4" ht="15.75" customHeight="1" x14ac:dyDescent="0.2">
      <c r="B459" s="215"/>
      <c r="C459" s="215"/>
      <c r="D459" s="215"/>
    </row>
    <row r="460" spans="2:4" ht="15.75" customHeight="1" x14ac:dyDescent="0.2">
      <c r="B460" s="215"/>
      <c r="C460" s="215"/>
      <c r="D460" s="215"/>
    </row>
    <row r="461" spans="2:4" ht="15.75" customHeight="1" x14ac:dyDescent="0.2">
      <c r="B461" s="215"/>
      <c r="C461" s="215"/>
      <c r="D461" s="215"/>
    </row>
    <row r="462" spans="2:4" ht="15.75" customHeight="1" x14ac:dyDescent="0.2">
      <c r="B462" s="215"/>
      <c r="C462" s="215"/>
      <c r="D462" s="215"/>
    </row>
    <row r="463" spans="2:4" ht="15.75" customHeight="1" x14ac:dyDescent="0.2">
      <c r="B463" s="215"/>
      <c r="C463" s="215"/>
      <c r="D463" s="215"/>
    </row>
    <row r="464" spans="2:4" ht="15.75" customHeight="1" x14ac:dyDescent="0.2">
      <c r="B464" s="215"/>
      <c r="C464" s="215"/>
      <c r="D464" s="215"/>
    </row>
    <row r="465" spans="2:4" ht="15.75" customHeight="1" x14ac:dyDescent="0.2">
      <c r="B465" s="215"/>
      <c r="C465" s="215"/>
      <c r="D465" s="215"/>
    </row>
    <row r="466" spans="2:4" ht="15.75" customHeight="1" x14ac:dyDescent="0.2">
      <c r="B466" s="215"/>
      <c r="C466" s="215"/>
      <c r="D466" s="215"/>
    </row>
    <row r="467" spans="2:4" ht="15.75" customHeight="1" x14ac:dyDescent="0.2">
      <c r="B467" s="215"/>
      <c r="C467" s="215"/>
      <c r="D467" s="215"/>
    </row>
    <row r="468" spans="2:4" ht="15.75" customHeight="1" x14ac:dyDescent="0.2">
      <c r="B468" s="215"/>
      <c r="C468" s="215"/>
      <c r="D468" s="215"/>
    </row>
    <row r="469" spans="2:4" ht="15.75" customHeight="1" x14ac:dyDescent="0.2">
      <c r="B469" s="215"/>
      <c r="C469" s="215"/>
      <c r="D469" s="215"/>
    </row>
    <row r="470" spans="2:4" ht="15.75" customHeight="1" x14ac:dyDescent="0.2">
      <c r="B470" s="215"/>
      <c r="C470" s="215"/>
      <c r="D470" s="215"/>
    </row>
    <row r="471" spans="2:4" ht="15.75" customHeight="1" x14ac:dyDescent="0.2">
      <c r="B471" s="215"/>
      <c r="C471" s="215"/>
      <c r="D471" s="215"/>
    </row>
    <row r="472" spans="2:4" ht="15.75" customHeight="1" x14ac:dyDescent="0.2">
      <c r="B472" s="215"/>
      <c r="C472" s="215"/>
      <c r="D472" s="215"/>
    </row>
    <row r="473" spans="2:4" ht="15.75" customHeight="1" x14ac:dyDescent="0.2">
      <c r="B473" s="215"/>
      <c r="C473" s="215"/>
      <c r="D473" s="215"/>
    </row>
    <row r="474" spans="2:4" ht="15.75" customHeight="1" x14ac:dyDescent="0.2">
      <c r="B474" s="215"/>
      <c r="C474" s="215"/>
      <c r="D474" s="215"/>
    </row>
    <row r="475" spans="2:4" ht="15.75" customHeight="1" x14ac:dyDescent="0.2">
      <c r="B475" s="215"/>
      <c r="C475" s="215"/>
      <c r="D475" s="215"/>
    </row>
    <row r="476" spans="2:4" ht="15.75" customHeight="1" x14ac:dyDescent="0.2">
      <c r="B476" s="215"/>
      <c r="C476" s="215"/>
      <c r="D476" s="215"/>
    </row>
    <row r="477" spans="2:4" ht="15.75" customHeight="1" x14ac:dyDescent="0.2">
      <c r="B477" s="215"/>
      <c r="C477" s="215"/>
      <c r="D477" s="215"/>
    </row>
    <row r="478" spans="2:4" ht="15.75" customHeight="1" x14ac:dyDescent="0.2">
      <c r="B478" s="215"/>
      <c r="C478" s="215"/>
      <c r="D478" s="215"/>
    </row>
    <row r="479" spans="2:4" ht="15.75" customHeight="1" x14ac:dyDescent="0.2">
      <c r="B479" s="215"/>
      <c r="C479" s="215"/>
      <c r="D479" s="215"/>
    </row>
    <row r="480" spans="2:4" ht="15.75" customHeight="1" x14ac:dyDescent="0.2">
      <c r="B480" s="215"/>
      <c r="C480" s="215"/>
      <c r="D480" s="215"/>
    </row>
    <row r="481" spans="2:4" ht="15.75" customHeight="1" x14ac:dyDescent="0.2">
      <c r="B481" s="215"/>
      <c r="C481" s="215"/>
      <c r="D481" s="215"/>
    </row>
    <row r="482" spans="2:4" ht="15.75" customHeight="1" x14ac:dyDescent="0.2">
      <c r="B482" s="215"/>
      <c r="C482" s="215"/>
      <c r="D482" s="215"/>
    </row>
    <row r="483" spans="2:4" ht="15.75" customHeight="1" x14ac:dyDescent="0.2">
      <c r="B483" s="215"/>
      <c r="C483" s="215"/>
      <c r="D483" s="215"/>
    </row>
    <row r="484" spans="2:4" ht="15.75" customHeight="1" x14ac:dyDescent="0.2">
      <c r="B484" s="215"/>
      <c r="C484" s="215"/>
      <c r="D484" s="215"/>
    </row>
    <row r="485" spans="2:4" ht="15.75" customHeight="1" x14ac:dyDescent="0.2">
      <c r="B485" s="215"/>
      <c r="C485" s="215"/>
      <c r="D485" s="215"/>
    </row>
    <row r="486" spans="2:4" ht="15.75" customHeight="1" x14ac:dyDescent="0.2">
      <c r="B486" s="215"/>
      <c r="C486" s="215"/>
      <c r="D486" s="215"/>
    </row>
    <row r="487" spans="2:4" ht="15.75" customHeight="1" x14ac:dyDescent="0.2">
      <c r="B487" s="215"/>
      <c r="C487" s="215"/>
      <c r="D487" s="215"/>
    </row>
    <row r="488" spans="2:4" ht="15.75" customHeight="1" x14ac:dyDescent="0.2">
      <c r="B488" s="215"/>
      <c r="C488" s="215"/>
      <c r="D488" s="215"/>
    </row>
    <row r="489" spans="2:4" ht="15.75" customHeight="1" x14ac:dyDescent="0.2">
      <c r="B489" s="215"/>
      <c r="C489" s="215"/>
      <c r="D489" s="215"/>
    </row>
    <row r="490" spans="2:4" ht="15.75" customHeight="1" x14ac:dyDescent="0.2">
      <c r="B490" s="215"/>
      <c r="C490" s="215"/>
      <c r="D490" s="215"/>
    </row>
    <row r="491" spans="2:4" ht="15.75" customHeight="1" x14ac:dyDescent="0.2">
      <c r="B491" s="215"/>
      <c r="C491" s="215"/>
      <c r="D491" s="215"/>
    </row>
    <row r="492" spans="2:4" ht="15.75" customHeight="1" x14ac:dyDescent="0.2">
      <c r="B492" s="215"/>
      <c r="C492" s="215"/>
      <c r="D492" s="215"/>
    </row>
    <row r="493" spans="2:4" ht="15.75" customHeight="1" x14ac:dyDescent="0.2">
      <c r="B493" s="215"/>
      <c r="C493" s="215"/>
      <c r="D493" s="215"/>
    </row>
    <row r="494" spans="2:4" ht="15.75" customHeight="1" x14ac:dyDescent="0.2">
      <c r="B494" s="215"/>
      <c r="C494" s="215"/>
      <c r="D494" s="215"/>
    </row>
    <row r="495" spans="2:4" ht="15.75" customHeight="1" x14ac:dyDescent="0.2">
      <c r="B495" s="215"/>
      <c r="C495" s="215"/>
      <c r="D495" s="215"/>
    </row>
    <row r="496" spans="2:4" ht="15.75" customHeight="1" x14ac:dyDescent="0.2">
      <c r="B496" s="215"/>
      <c r="C496" s="215"/>
      <c r="D496" s="215"/>
    </row>
    <row r="497" spans="2:4" ht="15.75" customHeight="1" x14ac:dyDescent="0.2">
      <c r="B497" s="215"/>
      <c r="C497" s="215"/>
      <c r="D497" s="215"/>
    </row>
    <row r="498" spans="2:4" ht="15.75" customHeight="1" x14ac:dyDescent="0.2">
      <c r="B498" s="215"/>
      <c r="C498" s="215"/>
      <c r="D498" s="215"/>
    </row>
    <row r="499" spans="2:4" ht="15.75" customHeight="1" x14ac:dyDescent="0.2">
      <c r="B499" s="215"/>
      <c r="C499" s="215"/>
      <c r="D499" s="215"/>
    </row>
    <row r="500" spans="2:4" ht="15.75" customHeight="1" x14ac:dyDescent="0.2">
      <c r="B500" s="215"/>
      <c r="C500" s="215"/>
      <c r="D500" s="215"/>
    </row>
    <row r="501" spans="2:4" ht="15.75" customHeight="1" x14ac:dyDescent="0.2">
      <c r="B501" s="215"/>
      <c r="C501" s="215"/>
      <c r="D501" s="215"/>
    </row>
    <row r="502" spans="2:4" ht="15.75" customHeight="1" x14ac:dyDescent="0.2">
      <c r="B502" s="215"/>
      <c r="C502" s="215"/>
      <c r="D502" s="215"/>
    </row>
    <row r="503" spans="2:4" ht="15.75" customHeight="1" x14ac:dyDescent="0.2">
      <c r="B503" s="215"/>
      <c r="C503" s="215"/>
      <c r="D503" s="215"/>
    </row>
    <row r="504" spans="2:4" ht="15.75" customHeight="1" x14ac:dyDescent="0.2">
      <c r="B504" s="215"/>
      <c r="C504" s="215"/>
      <c r="D504" s="215"/>
    </row>
    <row r="505" spans="2:4" ht="15.75" customHeight="1" x14ac:dyDescent="0.2">
      <c r="B505" s="215"/>
      <c r="C505" s="215"/>
      <c r="D505" s="215"/>
    </row>
    <row r="506" spans="2:4" ht="15.75" customHeight="1" x14ac:dyDescent="0.2">
      <c r="B506" s="215"/>
      <c r="C506" s="215"/>
      <c r="D506" s="215"/>
    </row>
    <row r="507" spans="2:4" ht="15.75" customHeight="1" x14ac:dyDescent="0.2">
      <c r="B507" s="215"/>
      <c r="C507" s="215"/>
      <c r="D507" s="215"/>
    </row>
    <row r="508" spans="2:4" ht="15.75" customHeight="1" x14ac:dyDescent="0.2">
      <c r="B508" s="215"/>
      <c r="C508" s="215"/>
      <c r="D508" s="215"/>
    </row>
    <row r="509" spans="2:4" ht="15.75" customHeight="1" x14ac:dyDescent="0.2">
      <c r="B509" s="215"/>
      <c r="C509" s="215"/>
      <c r="D509" s="215"/>
    </row>
    <row r="510" spans="2:4" ht="15.75" customHeight="1" x14ac:dyDescent="0.2">
      <c r="B510" s="215"/>
      <c r="C510" s="215"/>
      <c r="D510" s="215"/>
    </row>
    <row r="511" spans="2:4" ht="15.75" customHeight="1" x14ac:dyDescent="0.2">
      <c r="B511" s="215"/>
      <c r="C511" s="215"/>
      <c r="D511" s="215"/>
    </row>
    <row r="512" spans="2:4" ht="15.75" customHeight="1" x14ac:dyDescent="0.2">
      <c r="B512" s="215"/>
      <c r="C512" s="215"/>
      <c r="D512" s="215"/>
    </row>
    <row r="513" spans="2:4" ht="15.75" customHeight="1" x14ac:dyDescent="0.2">
      <c r="B513" s="215"/>
      <c r="C513" s="215"/>
      <c r="D513" s="215"/>
    </row>
    <row r="514" spans="2:4" ht="15.75" customHeight="1" x14ac:dyDescent="0.2">
      <c r="B514" s="215"/>
      <c r="C514" s="215"/>
      <c r="D514" s="215"/>
    </row>
    <row r="515" spans="2:4" ht="15.75" customHeight="1" x14ac:dyDescent="0.2">
      <c r="B515" s="215"/>
      <c r="C515" s="215"/>
      <c r="D515" s="215"/>
    </row>
    <row r="516" spans="2:4" ht="15.75" customHeight="1" x14ac:dyDescent="0.2">
      <c r="B516" s="215"/>
      <c r="C516" s="215"/>
      <c r="D516" s="215"/>
    </row>
    <row r="517" spans="2:4" ht="15.75" customHeight="1" x14ac:dyDescent="0.2">
      <c r="B517" s="215"/>
      <c r="C517" s="215"/>
      <c r="D517" s="215"/>
    </row>
    <row r="518" spans="2:4" ht="15.75" customHeight="1" x14ac:dyDescent="0.2">
      <c r="B518" s="215"/>
      <c r="C518" s="215"/>
      <c r="D518" s="215"/>
    </row>
    <row r="519" spans="2:4" ht="15.75" customHeight="1" x14ac:dyDescent="0.2">
      <c r="B519" s="215"/>
      <c r="C519" s="215"/>
      <c r="D519" s="215"/>
    </row>
    <row r="520" spans="2:4" ht="15.75" customHeight="1" x14ac:dyDescent="0.2">
      <c r="B520" s="215"/>
      <c r="C520" s="215"/>
      <c r="D520" s="215"/>
    </row>
    <row r="521" spans="2:4" ht="15.75" customHeight="1" x14ac:dyDescent="0.2">
      <c r="B521" s="215"/>
      <c r="C521" s="215"/>
      <c r="D521" s="215"/>
    </row>
    <row r="522" spans="2:4" ht="15.75" customHeight="1" x14ac:dyDescent="0.2">
      <c r="B522" s="215"/>
      <c r="C522" s="215"/>
      <c r="D522" s="215"/>
    </row>
    <row r="523" spans="2:4" ht="15.75" customHeight="1" x14ac:dyDescent="0.2">
      <c r="B523" s="215"/>
      <c r="C523" s="215"/>
      <c r="D523" s="215"/>
    </row>
    <row r="524" spans="2:4" ht="15.75" customHeight="1" x14ac:dyDescent="0.2">
      <c r="B524" s="215"/>
      <c r="C524" s="215"/>
      <c r="D524" s="215"/>
    </row>
    <row r="525" spans="2:4" ht="15.75" customHeight="1" x14ac:dyDescent="0.2">
      <c r="B525" s="215"/>
      <c r="C525" s="215"/>
      <c r="D525" s="215"/>
    </row>
    <row r="526" spans="2:4" ht="15.75" customHeight="1" x14ac:dyDescent="0.2">
      <c r="B526" s="215"/>
      <c r="C526" s="215"/>
      <c r="D526" s="215"/>
    </row>
    <row r="527" spans="2:4" ht="15.75" customHeight="1" x14ac:dyDescent="0.2">
      <c r="B527" s="215"/>
      <c r="C527" s="215"/>
      <c r="D527" s="215"/>
    </row>
    <row r="528" spans="2:4" ht="15.75" customHeight="1" x14ac:dyDescent="0.2">
      <c r="B528" s="215"/>
      <c r="C528" s="215"/>
      <c r="D528" s="215"/>
    </row>
    <row r="529" spans="2:4" ht="15.75" customHeight="1" x14ac:dyDescent="0.2">
      <c r="B529" s="215"/>
      <c r="C529" s="215"/>
      <c r="D529" s="215"/>
    </row>
    <row r="530" spans="2:4" ht="15.75" customHeight="1" x14ac:dyDescent="0.2">
      <c r="B530" s="215"/>
      <c r="C530" s="215"/>
      <c r="D530" s="215"/>
    </row>
    <row r="531" spans="2:4" ht="15.75" customHeight="1" x14ac:dyDescent="0.2">
      <c r="B531" s="215"/>
      <c r="C531" s="215"/>
      <c r="D531" s="215"/>
    </row>
    <row r="532" spans="2:4" ht="15.75" customHeight="1" x14ac:dyDescent="0.2">
      <c r="B532" s="215"/>
      <c r="C532" s="215"/>
      <c r="D532" s="215"/>
    </row>
    <row r="533" spans="2:4" ht="15.75" customHeight="1" x14ac:dyDescent="0.2">
      <c r="B533" s="215"/>
      <c r="C533" s="215"/>
      <c r="D533" s="215"/>
    </row>
    <row r="534" spans="2:4" ht="15.75" customHeight="1" x14ac:dyDescent="0.2">
      <c r="B534" s="215"/>
      <c r="C534" s="215"/>
      <c r="D534" s="215"/>
    </row>
    <row r="535" spans="2:4" ht="15.75" customHeight="1" x14ac:dyDescent="0.2">
      <c r="B535" s="215"/>
      <c r="C535" s="215"/>
      <c r="D535" s="215"/>
    </row>
    <row r="536" spans="2:4" ht="15.75" customHeight="1" x14ac:dyDescent="0.2">
      <c r="B536" s="215"/>
      <c r="C536" s="215"/>
      <c r="D536" s="215"/>
    </row>
    <row r="537" spans="2:4" ht="15.75" customHeight="1" x14ac:dyDescent="0.2">
      <c r="B537" s="215"/>
      <c r="C537" s="215"/>
      <c r="D537" s="215"/>
    </row>
    <row r="538" spans="2:4" ht="15.75" customHeight="1" x14ac:dyDescent="0.2">
      <c r="B538" s="215"/>
      <c r="C538" s="215"/>
      <c r="D538" s="215"/>
    </row>
    <row r="539" spans="2:4" ht="15.75" customHeight="1" x14ac:dyDescent="0.2">
      <c r="B539" s="215"/>
      <c r="C539" s="215"/>
      <c r="D539" s="215"/>
    </row>
    <row r="540" spans="2:4" ht="15.75" customHeight="1" x14ac:dyDescent="0.2">
      <c r="B540" s="215"/>
      <c r="C540" s="215"/>
      <c r="D540" s="215"/>
    </row>
    <row r="541" spans="2:4" ht="15.75" customHeight="1" x14ac:dyDescent="0.2">
      <c r="B541" s="215"/>
      <c r="C541" s="215"/>
      <c r="D541" s="215"/>
    </row>
    <row r="542" spans="2:4" ht="15.75" customHeight="1" x14ac:dyDescent="0.2">
      <c r="B542" s="215"/>
      <c r="C542" s="215"/>
      <c r="D542" s="215"/>
    </row>
    <row r="543" spans="2:4" ht="15.75" customHeight="1" x14ac:dyDescent="0.2">
      <c r="B543" s="215"/>
      <c r="C543" s="215"/>
      <c r="D543" s="215"/>
    </row>
    <row r="544" spans="2:4" ht="15.75" customHeight="1" x14ac:dyDescent="0.2">
      <c r="B544" s="215"/>
      <c r="C544" s="215"/>
      <c r="D544" s="215"/>
    </row>
    <row r="545" spans="2:4" ht="15.75" customHeight="1" x14ac:dyDescent="0.2">
      <c r="B545" s="215"/>
      <c r="C545" s="215"/>
      <c r="D545" s="215"/>
    </row>
    <row r="546" spans="2:4" ht="15.75" customHeight="1" x14ac:dyDescent="0.2">
      <c r="B546" s="215"/>
      <c r="C546" s="215"/>
      <c r="D546" s="215"/>
    </row>
    <row r="547" spans="2:4" ht="15.75" customHeight="1" x14ac:dyDescent="0.2">
      <c r="B547" s="215"/>
      <c r="C547" s="215"/>
      <c r="D547" s="215"/>
    </row>
    <row r="548" spans="2:4" ht="15.75" customHeight="1" x14ac:dyDescent="0.2">
      <c r="B548" s="215"/>
      <c r="C548" s="215"/>
      <c r="D548" s="215"/>
    </row>
    <row r="549" spans="2:4" ht="15.75" customHeight="1" x14ac:dyDescent="0.2">
      <c r="B549" s="215"/>
      <c r="C549" s="215"/>
      <c r="D549" s="215"/>
    </row>
    <row r="550" spans="2:4" ht="15.75" customHeight="1" x14ac:dyDescent="0.2">
      <c r="B550" s="215"/>
      <c r="C550" s="215"/>
      <c r="D550" s="215"/>
    </row>
    <row r="551" spans="2:4" ht="15.75" customHeight="1" x14ac:dyDescent="0.2">
      <c r="B551" s="215"/>
      <c r="C551" s="215"/>
      <c r="D551" s="215"/>
    </row>
    <row r="552" spans="2:4" ht="15.75" customHeight="1" x14ac:dyDescent="0.2">
      <c r="B552" s="215"/>
      <c r="C552" s="215"/>
      <c r="D552" s="215"/>
    </row>
    <row r="553" spans="2:4" ht="15.75" customHeight="1" x14ac:dyDescent="0.2">
      <c r="B553" s="215"/>
      <c r="C553" s="215"/>
      <c r="D553" s="215"/>
    </row>
    <row r="554" spans="2:4" ht="15.75" customHeight="1" x14ac:dyDescent="0.2">
      <c r="B554" s="215"/>
      <c r="C554" s="215"/>
      <c r="D554" s="215"/>
    </row>
    <row r="555" spans="2:4" ht="15.75" customHeight="1" x14ac:dyDescent="0.2">
      <c r="B555" s="215"/>
      <c r="C555" s="215"/>
      <c r="D555" s="215"/>
    </row>
    <row r="556" spans="2:4" ht="15.75" customHeight="1" x14ac:dyDescent="0.2">
      <c r="B556" s="215"/>
      <c r="C556" s="215"/>
      <c r="D556" s="215"/>
    </row>
    <row r="557" spans="2:4" ht="15.75" customHeight="1" x14ac:dyDescent="0.2">
      <c r="B557" s="215"/>
      <c r="C557" s="215"/>
      <c r="D557" s="215"/>
    </row>
    <row r="558" spans="2:4" ht="15.75" customHeight="1" x14ac:dyDescent="0.2">
      <c r="B558" s="215"/>
      <c r="C558" s="215"/>
      <c r="D558" s="215"/>
    </row>
    <row r="559" spans="2:4" ht="15.75" customHeight="1" x14ac:dyDescent="0.2">
      <c r="B559" s="215"/>
      <c r="C559" s="215"/>
      <c r="D559" s="215"/>
    </row>
    <row r="560" spans="2:4" ht="15.75" customHeight="1" x14ac:dyDescent="0.2">
      <c r="B560" s="215"/>
      <c r="C560" s="215"/>
      <c r="D560" s="215"/>
    </row>
    <row r="561" spans="2:4" ht="15.75" customHeight="1" x14ac:dyDescent="0.2">
      <c r="B561" s="215"/>
      <c r="C561" s="215"/>
      <c r="D561" s="215"/>
    </row>
    <row r="562" spans="2:4" ht="15.75" customHeight="1" x14ac:dyDescent="0.2">
      <c r="B562" s="215"/>
      <c r="C562" s="215"/>
      <c r="D562" s="215"/>
    </row>
    <row r="563" spans="2:4" ht="15.75" customHeight="1" x14ac:dyDescent="0.2">
      <c r="B563" s="215"/>
      <c r="C563" s="215"/>
      <c r="D563" s="215"/>
    </row>
    <row r="564" spans="2:4" ht="15.75" customHeight="1" x14ac:dyDescent="0.2">
      <c r="B564" s="215"/>
      <c r="C564" s="215"/>
      <c r="D564" s="215"/>
    </row>
    <row r="565" spans="2:4" ht="15.75" customHeight="1" x14ac:dyDescent="0.2">
      <c r="B565" s="215"/>
      <c r="C565" s="215"/>
      <c r="D565" s="215"/>
    </row>
    <row r="566" spans="2:4" ht="15.75" customHeight="1" x14ac:dyDescent="0.2">
      <c r="B566" s="215"/>
      <c r="C566" s="215"/>
      <c r="D566" s="215"/>
    </row>
    <row r="567" spans="2:4" ht="15.75" customHeight="1" x14ac:dyDescent="0.2">
      <c r="B567" s="215"/>
      <c r="C567" s="215"/>
      <c r="D567" s="215"/>
    </row>
    <row r="568" spans="2:4" ht="15.75" customHeight="1" x14ac:dyDescent="0.2">
      <c r="B568" s="215"/>
      <c r="C568" s="215"/>
      <c r="D568" s="215"/>
    </row>
    <row r="569" spans="2:4" ht="15.75" customHeight="1" x14ac:dyDescent="0.2">
      <c r="B569" s="215"/>
      <c r="C569" s="215"/>
      <c r="D569" s="215"/>
    </row>
    <row r="570" spans="2:4" ht="15.75" customHeight="1" x14ac:dyDescent="0.2">
      <c r="B570" s="215"/>
      <c r="C570" s="215"/>
      <c r="D570" s="215"/>
    </row>
    <row r="571" spans="2:4" ht="15.75" customHeight="1" x14ac:dyDescent="0.2">
      <c r="B571" s="215"/>
      <c r="C571" s="215"/>
      <c r="D571" s="215"/>
    </row>
    <row r="572" spans="2:4" ht="15.75" customHeight="1" x14ac:dyDescent="0.2">
      <c r="B572" s="215"/>
      <c r="C572" s="215"/>
      <c r="D572" s="215"/>
    </row>
    <row r="573" spans="2:4" ht="15.75" customHeight="1" x14ac:dyDescent="0.2">
      <c r="B573" s="215"/>
      <c r="C573" s="215"/>
      <c r="D573" s="215"/>
    </row>
    <row r="574" spans="2:4" ht="15.75" customHeight="1" x14ac:dyDescent="0.2">
      <c r="B574" s="215"/>
      <c r="C574" s="215"/>
      <c r="D574" s="215"/>
    </row>
    <row r="575" spans="2:4" ht="15.75" customHeight="1" x14ac:dyDescent="0.2">
      <c r="B575" s="215"/>
      <c r="C575" s="215"/>
      <c r="D575" s="215"/>
    </row>
    <row r="576" spans="2:4" ht="15.75" customHeight="1" x14ac:dyDescent="0.2">
      <c r="B576" s="215"/>
      <c r="C576" s="215"/>
      <c r="D576" s="215"/>
    </row>
    <row r="577" spans="2:4" ht="15.75" customHeight="1" x14ac:dyDescent="0.2">
      <c r="B577" s="215"/>
      <c r="C577" s="215"/>
      <c r="D577" s="215"/>
    </row>
    <row r="578" spans="2:4" ht="15.75" customHeight="1" x14ac:dyDescent="0.2">
      <c r="B578" s="215"/>
      <c r="C578" s="215"/>
      <c r="D578" s="215"/>
    </row>
    <row r="579" spans="2:4" ht="15.75" customHeight="1" x14ac:dyDescent="0.2">
      <c r="B579" s="215"/>
      <c r="C579" s="215"/>
      <c r="D579" s="215"/>
    </row>
    <row r="580" spans="2:4" ht="15.75" customHeight="1" x14ac:dyDescent="0.2">
      <c r="B580" s="215"/>
      <c r="C580" s="215"/>
      <c r="D580" s="215"/>
    </row>
    <row r="581" spans="2:4" ht="15.75" customHeight="1" x14ac:dyDescent="0.2">
      <c r="B581" s="215"/>
      <c r="C581" s="215"/>
      <c r="D581" s="215"/>
    </row>
    <row r="582" spans="2:4" ht="15.75" customHeight="1" x14ac:dyDescent="0.2">
      <c r="B582" s="215"/>
      <c r="C582" s="215"/>
      <c r="D582" s="215"/>
    </row>
    <row r="583" spans="2:4" ht="15.75" customHeight="1" x14ac:dyDescent="0.2">
      <c r="B583" s="215"/>
      <c r="C583" s="215"/>
      <c r="D583" s="215"/>
    </row>
    <row r="584" spans="2:4" ht="15.75" customHeight="1" x14ac:dyDescent="0.2">
      <c r="B584" s="215"/>
      <c r="C584" s="215"/>
      <c r="D584" s="215"/>
    </row>
    <row r="585" spans="2:4" ht="15.75" customHeight="1" x14ac:dyDescent="0.2">
      <c r="B585" s="215"/>
      <c r="C585" s="215"/>
      <c r="D585" s="215"/>
    </row>
    <row r="586" spans="2:4" ht="15.75" customHeight="1" x14ac:dyDescent="0.2">
      <c r="B586" s="215"/>
      <c r="C586" s="215"/>
      <c r="D586" s="215"/>
    </row>
    <row r="587" spans="2:4" ht="15.75" customHeight="1" x14ac:dyDescent="0.2">
      <c r="B587" s="215"/>
      <c r="C587" s="215"/>
      <c r="D587" s="215"/>
    </row>
    <row r="588" spans="2:4" ht="15.75" customHeight="1" x14ac:dyDescent="0.2">
      <c r="B588" s="215"/>
      <c r="C588" s="215"/>
      <c r="D588" s="215"/>
    </row>
    <row r="589" spans="2:4" ht="15.75" customHeight="1" x14ac:dyDescent="0.2">
      <c r="B589" s="215"/>
      <c r="C589" s="215"/>
      <c r="D589" s="215"/>
    </row>
    <row r="590" spans="2:4" ht="15.75" customHeight="1" x14ac:dyDescent="0.2">
      <c r="B590" s="215"/>
      <c r="C590" s="215"/>
      <c r="D590" s="215"/>
    </row>
    <row r="591" spans="2:4" ht="15.75" customHeight="1" x14ac:dyDescent="0.2">
      <c r="B591" s="215"/>
      <c r="C591" s="215"/>
      <c r="D591" s="215"/>
    </row>
    <row r="592" spans="2:4" ht="15.75" customHeight="1" x14ac:dyDescent="0.2">
      <c r="B592" s="215"/>
      <c r="C592" s="215"/>
      <c r="D592" s="215"/>
    </row>
    <row r="593" spans="2:4" ht="15.75" customHeight="1" x14ac:dyDescent="0.2">
      <c r="B593" s="215"/>
      <c r="C593" s="215"/>
      <c r="D593" s="215"/>
    </row>
    <row r="594" spans="2:4" ht="15.75" customHeight="1" x14ac:dyDescent="0.2">
      <c r="B594" s="215"/>
      <c r="C594" s="215"/>
      <c r="D594" s="215"/>
    </row>
    <row r="595" spans="2:4" ht="15.75" customHeight="1" x14ac:dyDescent="0.2">
      <c r="B595" s="215"/>
      <c r="C595" s="215"/>
      <c r="D595" s="215"/>
    </row>
    <row r="596" spans="2:4" ht="15.75" customHeight="1" x14ac:dyDescent="0.2">
      <c r="B596" s="215"/>
      <c r="C596" s="215"/>
      <c r="D596" s="215"/>
    </row>
    <row r="597" spans="2:4" ht="15.75" customHeight="1" x14ac:dyDescent="0.2">
      <c r="B597" s="215"/>
      <c r="C597" s="215"/>
      <c r="D597" s="215"/>
    </row>
    <row r="598" spans="2:4" ht="15.75" customHeight="1" x14ac:dyDescent="0.2">
      <c r="B598" s="215"/>
      <c r="C598" s="215"/>
      <c r="D598" s="215"/>
    </row>
    <row r="599" spans="2:4" ht="15.75" customHeight="1" x14ac:dyDescent="0.2">
      <c r="B599" s="215"/>
      <c r="C599" s="215"/>
      <c r="D599" s="215"/>
    </row>
    <row r="600" spans="2:4" ht="15.75" customHeight="1" x14ac:dyDescent="0.2">
      <c r="B600" s="215"/>
      <c r="C600" s="215"/>
      <c r="D600" s="215"/>
    </row>
    <row r="601" spans="2:4" ht="15.75" customHeight="1" x14ac:dyDescent="0.2">
      <c r="B601" s="215"/>
      <c r="C601" s="215"/>
      <c r="D601" s="215"/>
    </row>
    <row r="602" spans="2:4" ht="15.75" customHeight="1" x14ac:dyDescent="0.2">
      <c r="B602" s="215"/>
      <c r="C602" s="215"/>
      <c r="D602" s="215"/>
    </row>
    <row r="603" spans="2:4" ht="15.75" customHeight="1" x14ac:dyDescent="0.2">
      <c r="B603" s="215"/>
      <c r="C603" s="215"/>
      <c r="D603" s="215"/>
    </row>
    <row r="604" spans="2:4" ht="15.75" customHeight="1" x14ac:dyDescent="0.2">
      <c r="B604" s="215"/>
      <c r="C604" s="215"/>
      <c r="D604" s="215"/>
    </row>
    <row r="605" spans="2:4" ht="15.75" customHeight="1" x14ac:dyDescent="0.2">
      <c r="B605" s="215"/>
      <c r="C605" s="215"/>
      <c r="D605" s="215"/>
    </row>
    <row r="606" spans="2:4" ht="15.75" customHeight="1" x14ac:dyDescent="0.2">
      <c r="B606" s="215"/>
      <c r="C606" s="215"/>
      <c r="D606" s="215"/>
    </row>
    <row r="607" spans="2:4" ht="15.75" customHeight="1" x14ac:dyDescent="0.2">
      <c r="B607" s="215"/>
      <c r="C607" s="215"/>
      <c r="D607" s="215"/>
    </row>
    <row r="608" spans="2:4" ht="15.75" customHeight="1" x14ac:dyDescent="0.2">
      <c r="B608" s="215"/>
      <c r="C608" s="215"/>
      <c r="D608" s="215"/>
    </row>
    <row r="609" spans="2:4" ht="15.75" customHeight="1" x14ac:dyDescent="0.2">
      <c r="B609" s="215"/>
      <c r="C609" s="215"/>
      <c r="D609" s="215"/>
    </row>
    <row r="610" spans="2:4" ht="15.75" customHeight="1" x14ac:dyDescent="0.2">
      <c r="B610" s="215"/>
      <c r="C610" s="215"/>
      <c r="D610" s="215"/>
    </row>
    <row r="611" spans="2:4" ht="15.75" customHeight="1" x14ac:dyDescent="0.2">
      <c r="B611" s="215"/>
      <c r="C611" s="215"/>
      <c r="D611" s="215"/>
    </row>
    <row r="612" spans="2:4" ht="15.75" customHeight="1" x14ac:dyDescent="0.2">
      <c r="B612" s="215"/>
      <c r="C612" s="215"/>
      <c r="D612" s="215"/>
    </row>
    <row r="613" spans="2:4" ht="15.75" customHeight="1" x14ac:dyDescent="0.2">
      <c r="B613" s="215"/>
      <c r="C613" s="215"/>
      <c r="D613" s="215"/>
    </row>
    <row r="614" spans="2:4" ht="15.75" customHeight="1" x14ac:dyDescent="0.2">
      <c r="B614" s="215"/>
      <c r="C614" s="215"/>
      <c r="D614" s="215"/>
    </row>
    <row r="615" spans="2:4" ht="15.75" customHeight="1" x14ac:dyDescent="0.2">
      <c r="B615" s="215"/>
      <c r="C615" s="215"/>
      <c r="D615" s="215"/>
    </row>
    <row r="616" spans="2:4" ht="15.75" customHeight="1" x14ac:dyDescent="0.2">
      <c r="B616" s="215"/>
      <c r="C616" s="215"/>
      <c r="D616" s="215"/>
    </row>
    <row r="617" spans="2:4" ht="15.75" customHeight="1" x14ac:dyDescent="0.2">
      <c r="B617" s="215"/>
      <c r="C617" s="215"/>
      <c r="D617" s="215"/>
    </row>
    <row r="618" spans="2:4" ht="15.75" customHeight="1" x14ac:dyDescent="0.2">
      <c r="B618" s="215"/>
      <c r="C618" s="215"/>
      <c r="D618" s="215"/>
    </row>
    <row r="619" spans="2:4" ht="15.75" customHeight="1" x14ac:dyDescent="0.2">
      <c r="B619" s="215"/>
      <c r="C619" s="215"/>
      <c r="D619" s="215"/>
    </row>
    <row r="620" spans="2:4" ht="15.75" customHeight="1" x14ac:dyDescent="0.2">
      <c r="B620" s="215"/>
      <c r="C620" s="215"/>
      <c r="D620" s="215"/>
    </row>
    <row r="621" spans="2:4" ht="15.75" customHeight="1" x14ac:dyDescent="0.2">
      <c r="B621" s="215"/>
      <c r="C621" s="215"/>
      <c r="D621" s="215"/>
    </row>
    <row r="622" spans="2:4" ht="15.75" customHeight="1" x14ac:dyDescent="0.2">
      <c r="B622" s="215"/>
      <c r="C622" s="215"/>
      <c r="D622" s="215"/>
    </row>
    <row r="623" spans="2:4" ht="15.75" customHeight="1" x14ac:dyDescent="0.2">
      <c r="B623" s="215"/>
      <c r="C623" s="215"/>
      <c r="D623" s="215"/>
    </row>
    <row r="624" spans="2:4" ht="15.75" customHeight="1" x14ac:dyDescent="0.2">
      <c r="B624" s="215"/>
      <c r="C624" s="215"/>
      <c r="D624" s="215"/>
    </row>
    <row r="625" spans="2:4" ht="15.75" customHeight="1" x14ac:dyDescent="0.2">
      <c r="B625" s="215"/>
      <c r="C625" s="215"/>
      <c r="D625" s="215"/>
    </row>
    <row r="626" spans="2:4" ht="15.75" customHeight="1" x14ac:dyDescent="0.2">
      <c r="B626" s="215"/>
      <c r="C626" s="215"/>
      <c r="D626" s="215"/>
    </row>
    <row r="627" spans="2:4" ht="15.75" customHeight="1" x14ac:dyDescent="0.2">
      <c r="B627" s="215"/>
      <c r="C627" s="215"/>
      <c r="D627" s="215"/>
    </row>
    <row r="628" spans="2:4" ht="15.75" customHeight="1" x14ac:dyDescent="0.2">
      <c r="B628" s="215"/>
      <c r="C628" s="215"/>
      <c r="D628" s="215"/>
    </row>
    <row r="629" spans="2:4" ht="15.75" customHeight="1" x14ac:dyDescent="0.2">
      <c r="B629" s="215"/>
      <c r="C629" s="215"/>
      <c r="D629" s="215"/>
    </row>
    <row r="630" spans="2:4" ht="15.75" customHeight="1" x14ac:dyDescent="0.2">
      <c r="B630" s="215"/>
      <c r="C630" s="215"/>
      <c r="D630" s="215"/>
    </row>
    <row r="631" spans="2:4" ht="15.75" customHeight="1" x14ac:dyDescent="0.2">
      <c r="B631" s="215"/>
      <c r="C631" s="215"/>
      <c r="D631" s="215"/>
    </row>
    <row r="632" spans="2:4" ht="15.75" customHeight="1" x14ac:dyDescent="0.2">
      <c r="B632" s="215"/>
      <c r="C632" s="215"/>
      <c r="D632" s="215"/>
    </row>
    <row r="633" spans="2:4" ht="15.75" customHeight="1" x14ac:dyDescent="0.2">
      <c r="B633" s="215"/>
      <c r="C633" s="215"/>
      <c r="D633" s="215"/>
    </row>
    <row r="634" spans="2:4" ht="15.75" customHeight="1" x14ac:dyDescent="0.2">
      <c r="B634" s="215"/>
      <c r="C634" s="215"/>
      <c r="D634" s="215"/>
    </row>
    <row r="635" spans="2:4" ht="15.75" customHeight="1" x14ac:dyDescent="0.2">
      <c r="B635" s="215"/>
      <c r="C635" s="215"/>
      <c r="D635" s="215"/>
    </row>
    <row r="636" spans="2:4" ht="15.75" customHeight="1" x14ac:dyDescent="0.2">
      <c r="B636" s="215"/>
      <c r="C636" s="215"/>
      <c r="D636" s="215"/>
    </row>
    <row r="637" spans="2:4" ht="15.75" customHeight="1" x14ac:dyDescent="0.2">
      <c r="B637" s="215"/>
      <c r="C637" s="215"/>
      <c r="D637" s="215"/>
    </row>
    <row r="638" spans="2:4" ht="15.75" customHeight="1" x14ac:dyDescent="0.2">
      <c r="B638" s="215"/>
      <c r="C638" s="215"/>
      <c r="D638" s="215"/>
    </row>
    <row r="639" spans="2:4" ht="15.75" customHeight="1" x14ac:dyDescent="0.2">
      <c r="B639" s="215"/>
      <c r="C639" s="215"/>
      <c r="D639" s="215"/>
    </row>
    <row r="640" spans="2:4" ht="15.75" customHeight="1" x14ac:dyDescent="0.2">
      <c r="B640" s="215"/>
      <c r="C640" s="215"/>
      <c r="D640" s="215"/>
    </row>
    <row r="641" spans="2:4" ht="15.75" customHeight="1" x14ac:dyDescent="0.2">
      <c r="B641" s="215"/>
      <c r="C641" s="215"/>
      <c r="D641" s="215"/>
    </row>
    <row r="642" spans="2:4" ht="15.75" customHeight="1" x14ac:dyDescent="0.2">
      <c r="B642" s="215"/>
      <c r="C642" s="215"/>
      <c r="D642" s="215"/>
    </row>
    <row r="643" spans="2:4" ht="15.75" customHeight="1" x14ac:dyDescent="0.2">
      <c r="B643" s="215"/>
      <c r="C643" s="215"/>
      <c r="D643" s="215"/>
    </row>
    <row r="644" spans="2:4" ht="15.75" customHeight="1" x14ac:dyDescent="0.2">
      <c r="B644" s="215"/>
      <c r="C644" s="215"/>
      <c r="D644" s="215"/>
    </row>
    <row r="645" spans="2:4" ht="15.75" customHeight="1" x14ac:dyDescent="0.2">
      <c r="B645" s="215"/>
      <c r="C645" s="215"/>
      <c r="D645" s="215"/>
    </row>
    <row r="646" spans="2:4" ht="15.75" customHeight="1" x14ac:dyDescent="0.2">
      <c r="B646" s="215"/>
      <c r="C646" s="215"/>
      <c r="D646" s="215"/>
    </row>
    <row r="647" spans="2:4" ht="15.75" customHeight="1" x14ac:dyDescent="0.2">
      <c r="B647" s="215"/>
      <c r="C647" s="215"/>
      <c r="D647" s="215"/>
    </row>
    <row r="648" spans="2:4" ht="15.75" customHeight="1" x14ac:dyDescent="0.2">
      <c r="B648" s="215"/>
      <c r="C648" s="215"/>
      <c r="D648" s="215"/>
    </row>
    <row r="649" spans="2:4" ht="15.75" customHeight="1" x14ac:dyDescent="0.2">
      <c r="B649" s="215"/>
      <c r="C649" s="215"/>
      <c r="D649" s="215"/>
    </row>
    <row r="650" spans="2:4" ht="15.75" customHeight="1" x14ac:dyDescent="0.2">
      <c r="B650" s="215"/>
      <c r="C650" s="215"/>
      <c r="D650" s="215"/>
    </row>
    <row r="651" spans="2:4" ht="15.75" customHeight="1" x14ac:dyDescent="0.2">
      <c r="B651" s="215"/>
      <c r="C651" s="215"/>
      <c r="D651" s="215"/>
    </row>
    <row r="652" spans="2:4" ht="15.75" customHeight="1" x14ac:dyDescent="0.2">
      <c r="B652" s="215"/>
      <c r="C652" s="215"/>
      <c r="D652" s="215"/>
    </row>
    <row r="653" spans="2:4" ht="15.75" customHeight="1" x14ac:dyDescent="0.2">
      <c r="B653" s="215"/>
      <c r="C653" s="215"/>
      <c r="D653" s="215"/>
    </row>
    <row r="654" spans="2:4" ht="15.75" customHeight="1" x14ac:dyDescent="0.2">
      <c r="B654" s="215"/>
      <c r="C654" s="215"/>
      <c r="D654" s="215"/>
    </row>
    <row r="655" spans="2:4" ht="15.75" customHeight="1" x14ac:dyDescent="0.2">
      <c r="B655" s="215"/>
      <c r="C655" s="215"/>
      <c r="D655" s="215"/>
    </row>
    <row r="656" spans="2:4" ht="15.75" customHeight="1" x14ac:dyDescent="0.2">
      <c r="B656" s="215"/>
      <c r="C656" s="215"/>
      <c r="D656" s="215"/>
    </row>
    <row r="657" spans="2:4" ht="15.75" customHeight="1" x14ac:dyDescent="0.2">
      <c r="B657" s="215"/>
      <c r="C657" s="215"/>
      <c r="D657" s="215"/>
    </row>
    <row r="658" spans="2:4" ht="15.75" customHeight="1" x14ac:dyDescent="0.2">
      <c r="B658" s="215"/>
      <c r="C658" s="215"/>
      <c r="D658" s="215"/>
    </row>
    <row r="659" spans="2:4" ht="15.75" customHeight="1" x14ac:dyDescent="0.2">
      <c r="B659" s="215"/>
      <c r="C659" s="215"/>
      <c r="D659" s="215"/>
    </row>
    <row r="660" spans="2:4" ht="15.75" customHeight="1" x14ac:dyDescent="0.2">
      <c r="B660" s="215"/>
      <c r="C660" s="215"/>
      <c r="D660" s="215"/>
    </row>
    <row r="661" spans="2:4" ht="15.75" customHeight="1" x14ac:dyDescent="0.2">
      <c r="B661" s="215"/>
      <c r="C661" s="215"/>
      <c r="D661" s="215"/>
    </row>
    <row r="662" spans="2:4" ht="15.75" customHeight="1" x14ac:dyDescent="0.2">
      <c r="B662" s="215"/>
      <c r="C662" s="215"/>
      <c r="D662" s="215"/>
    </row>
    <row r="663" spans="2:4" ht="15.75" customHeight="1" x14ac:dyDescent="0.2">
      <c r="B663" s="215"/>
      <c r="C663" s="215"/>
      <c r="D663" s="215"/>
    </row>
    <row r="664" spans="2:4" ht="15.75" customHeight="1" x14ac:dyDescent="0.2">
      <c r="B664" s="215"/>
      <c r="C664" s="215"/>
      <c r="D664" s="215"/>
    </row>
    <row r="665" spans="2:4" ht="15.75" customHeight="1" x14ac:dyDescent="0.2">
      <c r="B665" s="215"/>
      <c r="C665" s="215"/>
      <c r="D665" s="215"/>
    </row>
    <row r="666" spans="2:4" ht="15.75" customHeight="1" x14ac:dyDescent="0.2">
      <c r="B666" s="215"/>
      <c r="C666" s="215"/>
      <c r="D666" s="215"/>
    </row>
    <row r="667" spans="2:4" ht="15.75" customHeight="1" x14ac:dyDescent="0.2">
      <c r="B667" s="215"/>
      <c r="C667" s="215"/>
      <c r="D667" s="215"/>
    </row>
    <row r="668" spans="2:4" ht="15.75" customHeight="1" x14ac:dyDescent="0.2">
      <c r="B668" s="215"/>
      <c r="C668" s="215"/>
      <c r="D668" s="215"/>
    </row>
    <row r="669" spans="2:4" ht="15.75" customHeight="1" x14ac:dyDescent="0.2">
      <c r="B669" s="215"/>
      <c r="C669" s="215"/>
      <c r="D669" s="215"/>
    </row>
    <row r="670" spans="2:4" ht="15.75" customHeight="1" x14ac:dyDescent="0.2">
      <c r="B670" s="215"/>
      <c r="C670" s="215"/>
      <c r="D670" s="215"/>
    </row>
    <row r="671" spans="2:4" ht="15.75" customHeight="1" x14ac:dyDescent="0.2">
      <c r="B671" s="215"/>
      <c r="C671" s="215"/>
      <c r="D671" s="215"/>
    </row>
    <row r="672" spans="2:4" ht="15.75" customHeight="1" x14ac:dyDescent="0.2">
      <c r="B672" s="215"/>
      <c r="C672" s="215"/>
      <c r="D672" s="215"/>
    </row>
    <row r="673" spans="2:4" ht="15.75" customHeight="1" x14ac:dyDescent="0.2">
      <c r="B673" s="215"/>
      <c r="C673" s="215"/>
      <c r="D673" s="215"/>
    </row>
    <row r="674" spans="2:4" ht="15.75" customHeight="1" x14ac:dyDescent="0.2">
      <c r="B674" s="215"/>
      <c r="C674" s="215"/>
      <c r="D674" s="215"/>
    </row>
    <row r="675" spans="2:4" ht="15.75" customHeight="1" x14ac:dyDescent="0.2">
      <c r="B675" s="215"/>
      <c r="C675" s="215"/>
      <c r="D675" s="215"/>
    </row>
    <row r="676" spans="2:4" ht="15.75" customHeight="1" x14ac:dyDescent="0.2">
      <c r="B676" s="215"/>
      <c r="C676" s="215"/>
      <c r="D676" s="215"/>
    </row>
    <row r="677" spans="2:4" ht="15.75" customHeight="1" x14ac:dyDescent="0.2">
      <c r="B677" s="215"/>
      <c r="C677" s="215"/>
      <c r="D677" s="215"/>
    </row>
    <row r="678" spans="2:4" ht="15.75" customHeight="1" x14ac:dyDescent="0.2">
      <c r="B678" s="215"/>
      <c r="C678" s="215"/>
      <c r="D678" s="215"/>
    </row>
    <row r="679" spans="2:4" ht="15.75" customHeight="1" x14ac:dyDescent="0.2">
      <c r="B679" s="215"/>
      <c r="C679" s="215"/>
      <c r="D679" s="215"/>
    </row>
    <row r="680" spans="2:4" ht="15.75" customHeight="1" x14ac:dyDescent="0.2">
      <c r="B680" s="215"/>
      <c r="C680" s="215"/>
      <c r="D680" s="215"/>
    </row>
    <row r="681" spans="2:4" ht="15.75" customHeight="1" x14ac:dyDescent="0.2">
      <c r="B681" s="215"/>
      <c r="C681" s="215"/>
      <c r="D681" s="215"/>
    </row>
    <row r="682" spans="2:4" ht="15.75" customHeight="1" x14ac:dyDescent="0.2">
      <c r="B682" s="215"/>
      <c r="C682" s="215"/>
      <c r="D682" s="215"/>
    </row>
    <row r="683" spans="2:4" ht="15.75" customHeight="1" x14ac:dyDescent="0.2">
      <c r="B683" s="215"/>
      <c r="C683" s="215"/>
      <c r="D683" s="215"/>
    </row>
    <row r="684" spans="2:4" ht="15.75" customHeight="1" x14ac:dyDescent="0.2">
      <c r="B684" s="215"/>
      <c r="C684" s="215"/>
      <c r="D684" s="215"/>
    </row>
    <row r="685" spans="2:4" ht="15.75" customHeight="1" x14ac:dyDescent="0.2">
      <c r="B685" s="215"/>
      <c r="C685" s="215"/>
      <c r="D685" s="215"/>
    </row>
    <row r="686" spans="2:4" ht="15.75" customHeight="1" x14ac:dyDescent="0.2">
      <c r="B686" s="215"/>
      <c r="C686" s="215"/>
      <c r="D686" s="215"/>
    </row>
    <row r="687" spans="2:4" ht="15.75" customHeight="1" x14ac:dyDescent="0.2">
      <c r="B687" s="215"/>
      <c r="C687" s="215"/>
      <c r="D687" s="215"/>
    </row>
    <row r="688" spans="2:4" ht="15.75" customHeight="1" x14ac:dyDescent="0.2">
      <c r="B688" s="215"/>
      <c r="C688" s="215"/>
      <c r="D688" s="215"/>
    </row>
    <row r="689" spans="2:4" ht="15.75" customHeight="1" x14ac:dyDescent="0.2">
      <c r="B689" s="215"/>
      <c r="C689" s="215"/>
      <c r="D689" s="215"/>
    </row>
    <row r="690" spans="2:4" ht="15.75" customHeight="1" x14ac:dyDescent="0.2">
      <c r="B690" s="215"/>
      <c r="C690" s="215"/>
      <c r="D690" s="215"/>
    </row>
    <row r="691" spans="2:4" ht="15.75" customHeight="1" x14ac:dyDescent="0.2">
      <c r="B691" s="215"/>
      <c r="C691" s="215"/>
      <c r="D691" s="215"/>
    </row>
    <row r="692" spans="2:4" ht="15.75" customHeight="1" x14ac:dyDescent="0.2">
      <c r="B692" s="215"/>
      <c r="C692" s="215"/>
      <c r="D692" s="215"/>
    </row>
    <row r="693" spans="2:4" ht="15.75" customHeight="1" x14ac:dyDescent="0.2">
      <c r="B693" s="215"/>
      <c r="C693" s="215"/>
      <c r="D693" s="215"/>
    </row>
    <row r="694" spans="2:4" ht="15.75" customHeight="1" x14ac:dyDescent="0.2">
      <c r="B694" s="215"/>
      <c r="C694" s="215"/>
      <c r="D694" s="215"/>
    </row>
    <row r="695" spans="2:4" ht="15.75" customHeight="1" x14ac:dyDescent="0.2">
      <c r="B695" s="215"/>
      <c r="C695" s="215"/>
      <c r="D695" s="215"/>
    </row>
    <row r="696" spans="2:4" ht="15.75" customHeight="1" x14ac:dyDescent="0.2">
      <c r="B696" s="215"/>
      <c r="C696" s="215"/>
      <c r="D696" s="215"/>
    </row>
    <row r="697" spans="2:4" ht="15.75" customHeight="1" x14ac:dyDescent="0.2">
      <c r="B697" s="215"/>
      <c r="C697" s="215"/>
      <c r="D697" s="215"/>
    </row>
    <row r="698" spans="2:4" ht="15.75" customHeight="1" x14ac:dyDescent="0.2">
      <c r="B698" s="215"/>
      <c r="C698" s="215"/>
      <c r="D698" s="215"/>
    </row>
    <row r="699" spans="2:4" ht="15.75" customHeight="1" x14ac:dyDescent="0.2">
      <c r="B699" s="215"/>
      <c r="C699" s="215"/>
      <c r="D699" s="215"/>
    </row>
    <row r="700" spans="2:4" ht="15.75" customHeight="1" x14ac:dyDescent="0.2">
      <c r="B700" s="215"/>
      <c r="C700" s="215"/>
      <c r="D700" s="215"/>
    </row>
    <row r="701" spans="2:4" ht="15.75" customHeight="1" x14ac:dyDescent="0.2">
      <c r="B701" s="215"/>
      <c r="C701" s="215"/>
      <c r="D701" s="215"/>
    </row>
    <row r="702" spans="2:4" ht="15.75" customHeight="1" x14ac:dyDescent="0.2">
      <c r="B702" s="215"/>
      <c r="C702" s="215"/>
      <c r="D702" s="215"/>
    </row>
    <row r="703" spans="2:4" ht="15.75" customHeight="1" x14ac:dyDescent="0.2">
      <c r="B703" s="215"/>
      <c r="C703" s="215"/>
      <c r="D703" s="215"/>
    </row>
    <row r="704" spans="2:4" ht="15.75" customHeight="1" x14ac:dyDescent="0.2">
      <c r="B704" s="215"/>
      <c r="C704" s="215"/>
      <c r="D704" s="215"/>
    </row>
    <row r="705" spans="2:4" ht="15.75" customHeight="1" x14ac:dyDescent="0.2">
      <c r="B705" s="215"/>
      <c r="C705" s="215"/>
      <c r="D705" s="215"/>
    </row>
    <row r="706" spans="2:4" ht="15.75" customHeight="1" x14ac:dyDescent="0.2">
      <c r="B706" s="215"/>
      <c r="C706" s="215"/>
      <c r="D706" s="215"/>
    </row>
    <row r="707" spans="2:4" ht="15.75" customHeight="1" x14ac:dyDescent="0.2">
      <c r="B707" s="215"/>
      <c r="C707" s="215"/>
      <c r="D707" s="215"/>
    </row>
    <row r="708" spans="2:4" ht="15.75" customHeight="1" x14ac:dyDescent="0.2">
      <c r="B708" s="215"/>
      <c r="C708" s="215"/>
      <c r="D708" s="215"/>
    </row>
    <row r="709" spans="2:4" ht="15.75" customHeight="1" x14ac:dyDescent="0.2">
      <c r="B709" s="215"/>
      <c r="C709" s="215"/>
      <c r="D709" s="215"/>
    </row>
    <row r="710" spans="2:4" ht="15.75" customHeight="1" x14ac:dyDescent="0.2">
      <c r="B710" s="215"/>
      <c r="C710" s="215"/>
      <c r="D710" s="215"/>
    </row>
    <row r="711" spans="2:4" ht="15.75" customHeight="1" x14ac:dyDescent="0.2">
      <c r="B711" s="215"/>
      <c r="C711" s="215"/>
      <c r="D711" s="215"/>
    </row>
    <row r="712" spans="2:4" ht="15.75" customHeight="1" x14ac:dyDescent="0.2">
      <c r="B712" s="215"/>
      <c r="C712" s="215"/>
      <c r="D712" s="215"/>
    </row>
    <row r="713" spans="2:4" ht="15.75" customHeight="1" x14ac:dyDescent="0.2">
      <c r="B713" s="215"/>
      <c r="C713" s="215"/>
      <c r="D713" s="215"/>
    </row>
    <row r="714" spans="2:4" ht="15.75" customHeight="1" x14ac:dyDescent="0.2">
      <c r="B714" s="215"/>
      <c r="C714" s="215"/>
      <c r="D714" s="215"/>
    </row>
    <row r="715" spans="2:4" ht="15.75" customHeight="1" x14ac:dyDescent="0.2">
      <c r="B715" s="215"/>
      <c r="C715" s="215"/>
      <c r="D715" s="215"/>
    </row>
    <row r="716" spans="2:4" ht="15.75" customHeight="1" x14ac:dyDescent="0.2">
      <c r="B716" s="215"/>
      <c r="C716" s="215"/>
      <c r="D716" s="215"/>
    </row>
    <row r="717" spans="2:4" ht="15.75" customHeight="1" x14ac:dyDescent="0.2">
      <c r="B717" s="215"/>
      <c r="C717" s="215"/>
      <c r="D717" s="215"/>
    </row>
    <row r="718" spans="2:4" ht="15.75" customHeight="1" x14ac:dyDescent="0.2">
      <c r="B718" s="215"/>
      <c r="C718" s="215"/>
      <c r="D718" s="215"/>
    </row>
    <row r="719" spans="2:4" ht="15.75" customHeight="1" x14ac:dyDescent="0.2">
      <c r="B719" s="215"/>
      <c r="C719" s="215"/>
      <c r="D719" s="215"/>
    </row>
    <row r="720" spans="2:4" ht="15.75" customHeight="1" x14ac:dyDescent="0.2">
      <c r="B720" s="215"/>
      <c r="C720" s="215"/>
      <c r="D720" s="215"/>
    </row>
    <row r="721" spans="2:4" ht="15.75" customHeight="1" x14ac:dyDescent="0.2">
      <c r="B721" s="215"/>
      <c r="C721" s="215"/>
      <c r="D721" s="215"/>
    </row>
    <row r="722" spans="2:4" ht="15.75" customHeight="1" x14ac:dyDescent="0.2">
      <c r="B722" s="215"/>
      <c r="C722" s="215"/>
      <c r="D722" s="215"/>
    </row>
    <row r="723" spans="2:4" ht="15.75" customHeight="1" x14ac:dyDescent="0.2">
      <c r="B723" s="215"/>
      <c r="C723" s="215"/>
      <c r="D723" s="215"/>
    </row>
    <row r="724" spans="2:4" ht="15.75" customHeight="1" x14ac:dyDescent="0.2">
      <c r="B724" s="215"/>
      <c r="C724" s="215"/>
      <c r="D724" s="215"/>
    </row>
    <row r="725" spans="2:4" ht="15.75" customHeight="1" x14ac:dyDescent="0.2">
      <c r="B725" s="215"/>
      <c r="C725" s="215"/>
      <c r="D725" s="215"/>
    </row>
    <row r="726" spans="2:4" ht="15.75" customHeight="1" x14ac:dyDescent="0.2">
      <c r="B726" s="215"/>
      <c r="C726" s="215"/>
      <c r="D726" s="215"/>
    </row>
    <row r="727" spans="2:4" ht="15.75" customHeight="1" x14ac:dyDescent="0.2">
      <c r="B727" s="215"/>
      <c r="C727" s="215"/>
      <c r="D727" s="215"/>
    </row>
    <row r="728" spans="2:4" ht="15.75" customHeight="1" x14ac:dyDescent="0.2">
      <c r="B728" s="215"/>
      <c r="C728" s="215"/>
      <c r="D728" s="215"/>
    </row>
    <row r="729" spans="2:4" ht="15.75" customHeight="1" x14ac:dyDescent="0.2">
      <c r="B729" s="215"/>
      <c r="C729" s="215"/>
      <c r="D729" s="215"/>
    </row>
    <row r="730" spans="2:4" ht="15.75" customHeight="1" x14ac:dyDescent="0.2">
      <c r="B730" s="215"/>
      <c r="C730" s="215"/>
      <c r="D730" s="215"/>
    </row>
    <row r="731" spans="2:4" ht="15.75" customHeight="1" x14ac:dyDescent="0.2">
      <c r="B731" s="215"/>
      <c r="C731" s="215"/>
      <c r="D731" s="215"/>
    </row>
    <row r="732" spans="2:4" ht="15.75" customHeight="1" x14ac:dyDescent="0.2">
      <c r="B732" s="215"/>
      <c r="C732" s="215"/>
      <c r="D732" s="215"/>
    </row>
    <row r="733" spans="2:4" ht="15.75" customHeight="1" x14ac:dyDescent="0.2">
      <c r="B733" s="215"/>
      <c r="C733" s="215"/>
      <c r="D733" s="215"/>
    </row>
    <row r="734" spans="2:4" ht="15.75" customHeight="1" x14ac:dyDescent="0.2">
      <c r="B734" s="215"/>
      <c r="C734" s="215"/>
      <c r="D734" s="215"/>
    </row>
    <row r="735" spans="2:4" ht="15.75" customHeight="1" x14ac:dyDescent="0.2">
      <c r="B735" s="215"/>
      <c r="C735" s="215"/>
      <c r="D735" s="215"/>
    </row>
    <row r="736" spans="2:4" ht="15.75" customHeight="1" x14ac:dyDescent="0.2">
      <c r="B736" s="215"/>
      <c r="C736" s="215"/>
      <c r="D736" s="215"/>
    </row>
    <row r="737" spans="2:4" ht="15.75" customHeight="1" x14ac:dyDescent="0.2">
      <c r="B737" s="215"/>
      <c r="C737" s="215"/>
      <c r="D737" s="215"/>
    </row>
    <row r="738" spans="2:4" ht="15.75" customHeight="1" x14ac:dyDescent="0.2">
      <c r="B738" s="215"/>
      <c r="C738" s="215"/>
      <c r="D738" s="215"/>
    </row>
    <row r="739" spans="2:4" ht="15.75" customHeight="1" x14ac:dyDescent="0.2">
      <c r="B739" s="215"/>
      <c r="C739" s="215"/>
      <c r="D739" s="215"/>
    </row>
    <row r="740" spans="2:4" ht="15.75" customHeight="1" x14ac:dyDescent="0.2">
      <c r="B740" s="215"/>
      <c r="C740" s="215"/>
      <c r="D740" s="215"/>
    </row>
    <row r="741" spans="2:4" ht="15.75" customHeight="1" x14ac:dyDescent="0.2">
      <c r="B741" s="215"/>
      <c r="C741" s="215"/>
      <c r="D741" s="215"/>
    </row>
    <row r="742" spans="2:4" ht="15.75" customHeight="1" x14ac:dyDescent="0.2">
      <c r="B742" s="215"/>
      <c r="C742" s="215"/>
      <c r="D742" s="215"/>
    </row>
    <row r="743" spans="2:4" ht="15.75" customHeight="1" x14ac:dyDescent="0.2">
      <c r="B743" s="215"/>
      <c r="C743" s="215"/>
      <c r="D743" s="215"/>
    </row>
    <row r="744" spans="2:4" ht="15.75" customHeight="1" x14ac:dyDescent="0.2">
      <c r="B744" s="215"/>
      <c r="C744" s="215"/>
      <c r="D744" s="215"/>
    </row>
    <row r="745" spans="2:4" ht="15.75" customHeight="1" x14ac:dyDescent="0.2">
      <c r="B745" s="215"/>
      <c r="C745" s="215"/>
      <c r="D745" s="215"/>
    </row>
    <row r="746" spans="2:4" ht="15.75" customHeight="1" x14ac:dyDescent="0.2">
      <c r="B746" s="215"/>
      <c r="C746" s="215"/>
      <c r="D746" s="215"/>
    </row>
    <row r="747" spans="2:4" ht="15.75" customHeight="1" x14ac:dyDescent="0.2">
      <c r="B747" s="215"/>
      <c r="C747" s="215"/>
      <c r="D747" s="215"/>
    </row>
    <row r="748" spans="2:4" ht="15.75" customHeight="1" x14ac:dyDescent="0.2">
      <c r="B748" s="215"/>
      <c r="C748" s="215"/>
      <c r="D748" s="215"/>
    </row>
    <row r="749" spans="2:4" ht="15.75" customHeight="1" x14ac:dyDescent="0.2">
      <c r="B749" s="215"/>
      <c r="C749" s="215"/>
      <c r="D749" s="215"/>
    </row>
    <row r="750" spans="2:4" ht="15.75" customHeight="1" x14ac:dyDescent="0.2">
      <c r="B750" s="215"/>
      <c r="C750" s="215"/>
      <c r="D750" s="215"/>
    </row>
    <row r="751" spans="2:4" ht="15.75" customHeight="1" x14ac:dyDescent="0.2">
      <c r="B751" s="215"/>
      <c r="C751" s="215"/>
      <c r="D751" s="215"/>
    </row>
    <row r="752" spans="2:4" ht="15.75" customHeight="1" x14ac:dyDescent="0.2">
      <c r="B752" s="215"/>
      <c r="C752" s="215"/>
      <c r="D752" s="215"/>
    </row>
    <row r="753" spans="2:4" ht="15.75" customHeight="1" x14ac:dyDescent="0.2">
      <c r="B753" s="215"/>
      <c r="C753" s="215"/>
      <c r="D753" s="215"/>
    </row>
    <row r="754" spans="2:4" ht="15.75" customHeight="1" x14ac:dyDescent="0.2">
      <c r="B754" s="215"/>
      <c r="C754" s="215"/>
      <c r="D754" s="215"/>
    </row>
    <row r="755" spans="2:4" ht="15.75" customHeight="1" x14ac:dyDescent="0.2">
      <c r="B755" s="215"/>
      <c r="C755" s="215"/>
      <c r="D755" s="215"/>
    </row>
    <row r="756" spans="2:4" ht="15.75" customHeight="1" x14ac:dyDescent="0.2">
      <c r="B756" s="215"/>
      <c r="C756" s="215"/>
      <c r="D756" s="215"/>
    </row>
    <row r="757" spans="2:4" ht="15.75" customHeight="1" x14ac:dyDescent="0.2">
      <c r="B757" s="215"/>
      <c r="C757" s="215"/>
      <c r="D757" s="215"/>
    </row>
    <row r="758" spans="2:4" ht="15.75" customHeight="1" x14ac:dyDescent="0.2">
      <c r="B758" s="215"/>
      <c r="C758" s="215"/>
      <c r="D758" s="215"/>
    </row>
    <row r="759" spans="2:4" ht="15.75" customHeight="1" x14ac:dyDescent="0.2">
      <c r="B759" s="215"/>
      <c r="C759" s="215"/>
      <c r="D759" s="215"/>
    </row>
    <row r="760" spans="2:4" ht="15.75" customHeight="1" x14ac:dyDescent="0.2">
      <c r="B760" s="215"/>
      <c r="C760" s="215"/>
      <c r="D760" s="215"/>
    </row>
    <row r="761" spans="2:4" ht="15.75" customHeight="1" x14ac:dyDescent="0.2">
      <c r="B761" s="215"/>
      <c r="C761" s="215"/>
      <c r="D761" s="215"/>
    </row>
    <row r="762" spans="2:4" ht="15.75" customHeight="1" x14ac:dyDescent="0.2">
      <c r="B762" s="215"/>
      <c r="C762" s="215"/>
      <c r="D762" s="215"/>
    </row>
    <row r="763" spans="2:4" ht="15.75" customHeight="1" x14ac:dyDescent="0.2">
      <c r="B763" s="215"/>
      <c r="C763" s="215"/>
      <c r="D763" s="215"/>
    </row>
    <row r="764" spans="2:4" ht="15.75" customHeight="1" x14ac:dyDescent="0.2">
      <c r="B764" s="215"/>
      <c r="C764" s="215"/>
      <c r="D764" s="215"/>
    </row>
    <row r="765" spans="2:4" ht="15.75" customHeight="1" x14ac:dyDescent="0.2">
      <c r="B765" s="215"/>
      <c r="C765" s="215"/>
      <c r="D765" s="215"/>
    </row>
    <row r="766" spans="2:4" ht="15.75" customHeight="1" x14ac:dyDescent="0.2">
      <c r="B766" s="215"/>
      <c r="C766" s="215"/>
      <c r="D766" s="215"/>
    </row>
    <row r="767" spans="2:4" ht="15.75" customHeight="1" x14ac:dyDescent="0.2">
      <c r="B767" s="215"/>
      <c r="C767" s="215"/>
      <c r="D767" s="215"/>
    </row>
    <row r="768" spans="2:4" ht="15.75" customHeight="1" x14ac:dyDescent="0.2">
      <c r="B768" s="215"/>
      <c r="C768" s="215"/>
      <c r="D768" s="215"/>
    </row>
    <row r="769" spans="2:4" ht="15.75" customHeight="1" x14ac:dyDescent="0.2">
      <c r="B769" s="215"/>
      <c r="C769" s="215"/>
      <c r="D769" s="215"/>
    </row>
    <row r="770" spans="2:4" ht="15.75" customHeight="1" x14ac:dyDescent="0.2">
      <c r="B770" s="215"/>
      <c r="C770" s="215"/>
      <c r="D770" s="215"/>
    </row>
    <row r="771" spans="2:4" ht="15.75" customHeight="1" x14ac:dyDescent="0.2">
      <c r="B771" s="215"/>
      <c r="C771" s="215"/>
      <c r="D771" s="215"/>
    </row>
    <row r="772" spans="2:4" ht="15.75" customHeight="1" x14ac:dyDescent="0.2">
      <c r="B772" s="215"/>
      <c r="C772" s="215"/>
      <c r="D772" s="215"/>
    </row>
    <row r="773" spans="2:4" ht="15.75" customHeight="1" x14ac:dyDescent="0.2">
      <c r="B773" s="215"/>
      <c r="C773" s="215"/>
      <c r="D773" s="215"/>
    </row>
    <row r="774" spans="2:4" ht="15.75" customHeight="1" x14ac:dyDescent="0.2">
      <c r="B774" s="215"/>
      <c r="C774" s="215"/>
      <c r="D774" s="215"/>
    </row>
    <row r="775" spans="2:4" ht="15.75" customHeight="1" x14ac:dyDescent="0.2">
      <c r="B775" s="215"/>
      <c r="C775" s="215"/>
      <c r="D775" s="215"/>
    </row>
    <row r="776" spans="2:4" ht="15.75" customHeight="1" x14ac:dyDescent="0.2">
      <c r="B776" s="215"/>
      <c r="C776" s="215"/>
      <c r="D776" s="215"/>
    </row>
    <row r="777" spans="2:4" ht="15.75" customHeight="1" x14ac:dyDescent="0.2">
      <c r="B777" s="215"/>
      <c r="C777" s="215"/>
      <c r="D777" s="215"/>
    </row>
    <row r="778" spans="2:4" ht="15.75" customHeight="1" x14ac:dyDescent="0.2">
      <c r="B778" s="215"/>
      <c r="C778" s="215"/>
      <c r="D778" s="215"/>
    </row>
    <row r="779" spans="2:4" ht="15.75" customHeight="1" x14ac:dyDescent="0.2">
      <c r="B779" s="215"/>
      <c r="C779" s="215"/>
      <c r="D779" s="215"/>
    </row>
    <row r="780" spans="2:4" ht="15.75" customHeight="1" x14ac:dyDescent="0.2">
      <c r="B780" s="215"/>
      <c r="C780" s="215"/>
      <c r="D780" s="215"/>
    </row>
    <row r="781" spans="2:4" ht="15.75" customHeight="1" x14ac:dyDescent="0.2">
      <c r="B781" s="215"/>
      <c r="C781" s="215"/>
      <c r="D781" s="215"/>
    </row>
    <row r="782" spans="2:4" ht="15.75" customHeight="1" x14ac:dyDescent="0.2">
      <c r="B782" s="215"/>
      <c r="C782" s="215"/>
      <c r="D782" s="215"/>
    </row>
    <row r="783" spans="2:4" ht="15.75" customHeight="1" x14ac:dyDescent="0.2">
      <c r="B783" s="215"/>
      <c r="C783" s="215"/>
      <c r="D783" s="215"/>
    </row>
    <row r="784" spans="2:4" ht="15.75" customHeight="1" x14ac:dyDescent="0.2">
      <c r="B784" s="215"/>
      <c r="C784" s="215"/>
      <c r="D784" s="215"/>
    </row>
    <row r="785" spans="2:4" ht="15.75" customHeight="1" x14ac:dyDescent="0.2">
      <c r="B785" s="215"/>
      <c r="C785" s="215"/>
      <c r="D785" s="215"/>
    </row>
    <row r="786" spans="2:4" ht="15.75" customHeight="1" x14ac:dyDescent="0.2">
      <c r="B786" s="215"/>
      <c r="C786" s="215"/>
      <c r="D786" s="215"/>
    </row>
    <row r="787" spans="2:4" ht="15.75" customHeight="1" x14ac:dyDescent="0.2">
      <c r="B787" s="215"/>
      <c r="C787" s="215"/>
      <c r="D787" s="215"/>
    </row>
    <row r="788" spans="2:4" ht="15.75" customHeight="1" x14ac:dyDescent="0.2">
      <c r="B788" s="215"/>
      <c r="C788" s="215"/>
      <c r="D788" s="215"/>
    </row>
    <row r="789" spans="2:4" ht="15.75" customHeight="1" x14ac:dyDescent="0.2">
      <c r="B789" s="215"/>
      <c r="C789" s="215"/>
      <c r="D789" s="215"/>
    </row>
    <row r="790" spans="2:4" ht="15.75" customHeight="1" x14ac:dyDescent="0.2">
      <c r="B790" s="215"/>
      <c r="C790" s="215"/>
      <c r="D790" s="215"/>
    </row>
    <row r="791" spans="2:4" ht="15.75" customHeight="1" x14ac:dyDescent="0.2">
      <c r="B791" s="215"/>
      <c r="C791" s="215"/>
      <c r="D791" s="215"/>
    </row>
    <row r="792" spans="2:4" ht="15.75" customHeight="1" x14ac:dyDescent="0.2">
      <c r="B792" s="215"/>
      <c r="C792" s="215"/>
      <c r="D792" s="215"/>
    </row>
    <row r="793" spans="2:4" ht="15.75" customHeight="1" x14ac:dyDescent="0.2">
      <c r="B793" s="215"/>
      <c r="C793" s="215"/>
      <c r="D793" s="215"/>
    </row>
    <row r="794" spans="2:4" ht="15.75" customHeight="1" x14ac:dyDescent="0.2">
      <c r="B794" s="215"/>
      <c r="C794" s="215"/>
      <c r="D794" s="215"/>
    </row>
    <row r="795" spans="2:4" ht="15.75" customHeight="1" x14ac:dyDescent="0.2">
      <c r="B795" s="215"/>
      <c r="C795" s="215"/>
      <c r="D795" s="215"/>
    </row>
    <row r="796" spans="2:4" ht="15.75" customHeight="1" x14ac:dyDescent="0.2">
      <c r="B796" s="215"/>
      <c r="C796" s="215"/>
      <c r="D796" s="215"/>
    </row>
    <row r="797" spans="2:4" ht="15.75" customHeight="1" x14ac:dyDescent="0.2">
      <c r="B797" s="215"/>
      <c r="C797" s="215"/>
      <c r="D797" s="215"/>
    </row>
    <row r="798" spans="2:4" ht="15.75" customHeight="1" x14ac:dyDescent="0.2">
      <c r="B798" s="215"/>
      <c r="C798" s="215"/>
      <c r="D798" s="215"/>
    </row>
    <row r="799" spans="2:4" ht="15.75" customHeight="1" x14ac:dyDescent="0.2">
      <c r="B799" s="215"/>
      <c r="C799" s="215"/>
      <c r="D799" s="215"/>
    </row>
    <row r="800" spans="2:4" ht="15.75" customHeight="1" x14ac:dyDescent="0.2">
      <c r="B800" s="215"/>
      <c r="C800" s="215"/>
      <c r="D800" s="215"/>
    </row>
    <row r="801" spans="2:4" ht="15.75" customHeight="1" x14ac:dyDescent="0.2">
      <c r="B801" s="215"/>
      <c r="C801" s="215"/>
      <c r="D801" s="215"/>
    </row>
    <row r="802" spans="2:4" ht="15.75" customHeight="1" x14ac:dyDescent="0.2">
      <c r="B802" s="215"/>
      <c r="C802" s="215"/>
      <c r="D802" s="215"/>
    </row>
    <row r="803" spans="2:4" ht="15.75" customHeight="1" x14ac:dyDescent="0.2">
      <c r="B803" s="215"/>
      <c r="C803" s="215"/>
      <c r="D803" s="215"/>
    </row>
    <row r="804" spans="2:4" ht="15.75" customHeight="1" x14ac:dyDescent="0.2">
      <c r="B804" s="215"/>
      <c r="C804" s="215"/>
      <c r="D804" s="215"/>
    </row>
    <row r="805" spans="2:4" ht="15.75" customHeight="1" x14ac:dyDescent="0.2">
      <c r="B805" s="215"/>
      <c r="C805" s="215"/>
      <c r="D805" s="215"/>
    </row>
    <row r="806" spans="2:4" ht="15.75" customHeight="1" x14ac:dyDescent="0.2">
      <c r="B806" s="215"/>
      <c r="C806" s="215"/>
      <c r="D806" s="215"/>
    </row>
    <row r="807" spans="2:4" ht="15.75" customHeight="1" x14ac:dyDescent="0.2">
      <c r="B807" s="215"/>
      <c r="C807" s="215"/>
      <c r="D807" s="215"/>
    </row>
    <row r="808" spans="2:4" ht="15.75" customHeight="1" x14ac:dyDescent="0.2">
      <c r="B808" s="215"/>
      <c r="C808" s="215"/>
      <c r="D808" s="215"/>
    </row>
    <row r="809" spans="2:4" ht="15.75" customHeight="1" x14ac:dyDescent="0.2">
      <c r="B809" s="215"/>
      <c r="C809" s="215"/>
      <c r="D809" s="215"/>
    </row>
    <row r="810" spans="2:4" ht="15.75" customHeight="1" x14ac:dyDescent="0.2">
      <c r="B810" s="215"/>
      <c r="C810" s="215"/>
      <c r="D810" s="215"/>
    </row>
    <row r="811" spans="2:4" ht="15.75" customHeight="1" x14ac:dyDescent="0.2">
      <c r="B811" s="215"/>
      <c r="C811" s="215"/>
      <c r="D811" s="215"/>
    </row>
    <row r="812" spans="2:4" ht="15.75" customHeight="1" x14ac:dyDescent="0.2">
      <c r="B812" s="215"/>
      <c r="C812" s="215"/>
      <c r="D812" s="215"/>
    </row>
    <row r="813" spans="2:4" ht="15.75" customHeight="1" x14ac:dyDescent="0.2">
      <c r="B813" s="215"/>
      <c r="C813" s="215"/>
      <c r="D813" s="215"/>
    </row>
    <row r="814" spans="2:4" ht="15.75" customHeight="1" x14ac:dyDescent="0.2">
      <c r="B814" s="215"/>
      <c r="C814" s="215"/>
      <c r="D814" s="215"/>
    </row>
    <row r="815" spans="2:4" ht="15.75" customHeight="1" x14ac:dyDescent="0.2">
      <c r="B815" s="215"/>
      <c r="C815" s="215"/>
      <c r="D815" s="215"/>
    </row>
    <row r="816" spans="2:4" ht="15.75" customHeight="1" x14ac:dyDescent="0.2">
      <c r="B816" s="215"/>
      <c r="C816" s="215"/>
      <c r="D816" s="215"/>
    </row>
  </sheetData>
  <mergeCells count="3">
    <mergeCell ref="C2:D2"/>
    <mergeCell ref="A1:D1"/>
    <mergeCell ref="E1:M1"/>
  </mergeCells>
  <phoneticPr fontId="66" type="noConversion"/>
  <conditionalFormatting sqref="C57">
    <cfRule type="colorScale" priority="59">
      <colorScale>
        <cfvo type="min"/>
        <cfvo type="max"/>
        <color rgb="FF57BB8A"/>
        <color rgb="FFFFFFFF"/>
      </colorScale>
    </cfRule>
  </conditionalFormatting>
  <conditionalFormatting sqref="A3:A110">
    <cfRule type="cellIs" dxfId="5" priority="56" stopIfTrue="1" operator="equal">
      <formula>"ANIMAX"</formula>
    </cfRule>
    <cfRule type="cellIs" dxfId="4" priority="57" stopIfTrue="1" operator="equal">
      <formula>"GEM"</formula>
    </cfRule>
    <cfRule type="cellIs" dxfId="3" priority="58" stopIfTrue="1" operator="equal">
      <formula>"ONE EA"</formula>
    </cfRule>
  </conditionalFormatting>
  <dataValidations count="5">
    <dataValidation type="list" showInputMessage="1" showErrorMessage="1" sqref="M3:M110" xr:uid="{0FA90C2D-B124-4EE9-B4A3-D0E1BCB8316D}">
      <formula1>"NO, YES"</formula1>
    </dataValidation>
    <dataValidation type="list" showErrorMessage="1" sqref="K111:K120" xr:uid="{3A00611B-B5D4-42C5-8728-108B70697A08}">
      <formula1>"ENG FM,ENG SPLIT,MAND FM,MAND SPLIT,CANTO FM,BI FM,BM FM,THAI FM,SOT ONLY"</formula1>
    </dataValidation>
    <dataValidation type="list" showErrorMessage="1" sqref="A111:A120" xr:uid="{F66D926F-3D66-4183-9DE2-72138FE6B4E1}">
      <formula1>"ANIMAX,GEM,ONE EA"</formula1>
    </dataValidation>
    <dataValidation type="list" allowBlank="1" showInputMessage="1" showErrorMessage="1" sqref="A3:A110" xr:uid="{FE468661-8448-E247-82DB-ACF31585C62B}">
      <formula1>"ANIMAX, GEM, ONE EA"</formula1>
    </dataValidation>
    <dataValidation type="list" allowBlank="1" showInputMessage="1" showErrorMessage="1" sqref="K3:K110" xr:uid="{042B6FDF-0AF8-0244-A9FE-845332D41E2C}">
      <formula1>"ENG FM,ENG SPLIT,MAND FM,MAND SPLIT,CANTO FM,BI FM,BM FM,THAI FM,SOT ONLY"</formula1>
    </dataValidation>
  </dataValidations>
  <pageMargins left="0.70866141732283505" right="0.70866141732283505" top="0.74803149606299202" bottom="0.74803149606299202" header="0" footer="0"/>
  <pageSetup scale="31" orientation="landscape" r:id="rId1"/>
  <headerFooter>
    <oddFooter>&amp;C&amp;"Calibri,Regular"&amp;K00000010 Changi Business Park Central 2, #03-08 Hansapoint @CBP, Singapore 486030</oddFooter>
  </headerFooter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A26AAAB-BC53-4E7B-B95F-1402DC30887D}">
          <x14:formula1>
            <xm:f>'#'!$A$1:$A$26</xm:f>
          </x14:formula1>
          <xm:sqref>L2:L110</xm:sqref>
        </x14:dataValidation>
        <x14:dataValidation type="list" showInputMessage="1" showErrorMessage="1" xr:uid="{9E3F45E9-C5F8-43B3-8129-DC7A1DB09C3B}">
          <x14:formula1>
            <xm:f>'#'!$A$1:$A$26</xm:f>
          </x14:formula1>
          <xm:sqref>L111:L120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9163C-69D5-45E2-881B-98CF2500CEF8}">
  <sheetPr codeName="Sheet31">
    <outlinePr summaryBelow="0" summaryRight="0"/>
    <pageSetUpPr fitToPage="1"/>
  </sheetPr>
  <dimension ref="A1:V61"/>
  <sheetViews>
    <sheetView showZeros="0" zoomScaleNormal="100" workbookViewId="0">
      <pane ySplit="1" topLeftCell="A32" activePane="bottomLeft" state="frozen"/>
      <selection activeCell="K3" sqref="K3:L4"/>
      <selection pane="bottomLeft" activeCell="F38" sqref="F38"/>
    </sheetView>
  </sheetViews>
  <sheetFormatPr baseColWidth="10" defaultColWidth="14.5" defaultRowHeight="15" customHeight="1" x14ac:dyDescent="0.2"/>
  <cols>
    <col min="1" max="1" width="11.83203125" style="100" customWidth="1"/>
    <col min="2" max="4" width="5.1640625" style="96" customWidth="1"/>
    <col min="5" max="5" width="5.1640625" style="191" customWidth="1"/>
    <col min="6" max="6" width="5.1640625" style="96" customWidth="1"/>
    <col min="7" max="7" width="5.1640625" style="218" customWidth="1"/>
    <col min="8" max="9" width="5.1640625" style="108" customWidth="1"/>
    <col min="10" max="10" width="5.1640625" style="96" customWidth="1"/>
    <col min="11" max="12" width="13.83203125" style="96" customWidth="1"/>
    <col min="13" max="14" width="9.1640625" style="97"/>
    <col min="15" max="15" width="26.1640625" style="99" customWidth="1"/>
    <col min="16" max="16384" width="14.5" style="97"/>
  </cols>
  <sheetData>
    <row r="1" spans="1:22" ht="56.25" customHeight="1" x14ac:dyDescent="0.2">
      <c r="A1" s="235" t="s">
        <v>233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</row>
    <row r="2" spans="1:22" ht="16" x14ac:dyDescent="0.2">
      <c r="A2" s="95" t="s">
        <v>120</v>
      </c>
      <c r="B2" s="93"/>
      <c r="C2" s="90"/>
      <c r="D2" s="90"/>
      <c r="E2" s="189"/>
      <c r="F2" s="90"/>
      <c r="G2" s="216"/>
      <c r="H2" s="106"/>
      <c r="I2" s="106"/>
      <c r="J2" s="90"/>
      <c r="K2" s="93" t="s">
        <v>121</v>
      </c>
      <c r="L2" s="95" t="s">
        <v>122</v>
      </c>
      <c r="M2" s="237" t="s">
        <v>234</v>
      </c>
      <c r="N2" s="5"/>
      <c r="O2" s="5"/>
      <c r="P2" s="5"/>
      <c r="Q2" s="5"/>
      <c r="R2" s="5"/>
      <c r="S2" s="5"/>
      <c r="T2" s="5"/>
      <c r="U2" s="5"/>
      <c r="V2" s="5"/>
    </row>
    <row r="3" spans="1:22" ht="16" x14ac:dyDescent="0.2">
      <c r="A3" s="95" t="s">
        <v>120</v>
      </c>
      <c r="B3" s="90"/>
      <c r="C3" s="90"/>
      <c r="D3" s="90"/>
      <c r="E3" s="189"/>
      <c r="F3" s="90"/>
      <c r="G3" s="216"/>
      <c r="H3" s="106"/>
      <c r="I3" s="106"/>
      <c r="J3" s="90"/>
      <c r="K3" s="93" t="s">
        <v>121</v>
      </c>
      <c r="L3" s="95" t="s">
        <v>122</v>
      </c>
      <c r="M3" s="237"/>
      <c r="N3" s="5"/>
      <c r="O3" s="5"/>
      <c r="P3" s="5"/>
      <c r="Q3" s="5"/>
      <c r="R3" s="5"/>
      <c r="S3" s="5"/>
      <c r="T3" s="5"/>
      <c r="U3" s="5"/>
      <c r="V3" s="5"/>
    </row>
    <row r="4" spans="1:22" ht="16" x14ac:dyDescent="0.2">
      <c r="A4" s="95" t="s">
        <v>120</v>
      </c>
      <c r="B4" s="90"/>
      <c r="C4" s="90"/>
      <c r="D4" s="90"/>
      <c r="E4" s="189"/>
      <c r="F4" s="90"/>
      <c r="G4" s="216"/>
      <c r="H4" s="106"/>
      <c r="I4" s="106"/>
      <c r="J4" s="90"/>
      <c r="K4" s="93" t="s">
        <v>123</v>
      </c>
      <c r="L4" s="95" t="s">
        <v>122</v>
      </c>
      <c r="M4" s="237"/>
      <c r="N4" s="5"/>
      <c r="O4" s="5"/>
      <c r="P4" s="5"/>
      <c r="Q4" s="5"/>
      <c r="R4" s="5"/>
      <c r="S4" s="5"/>
      <c r="T4" s="5"/>
      <c r="U4" s="5"/>
      <c r="V4" s="5"/>
    </row>
    <row r="5" spans="1:22" ht="16" x14ac:dyDescent="0.2">
      <c r="A5" s="95" t="s">
        <v>120</v>
      </c>
      <c r="B5" s="90"/>
      <c r="C5" s="90"/>
      <c r="D5" s="90"/>
      <c r="E5" s="189"/>
      <c r="F5" s="90"/>
      <c r="G5" s="216"/>
      <c r="H5" s="106"/>
      <c r="I5" s="106"/>
      <c r="J5" s="90"/>
      <c r="K5" s="93" t="s">
        <v>123</v>
      </c>
      <c r="L5" s="95" t="s">
        <v>122</v>
      </c>
      <c r="M5" s="237"/>
      <c r="N5" s="5"/>
      <c r="O5" s="98"/>
      <c r="P5" s="5"/>
      <c r="Q5" s="5"/>
      <c r="R5" s="5"/>
      <c r="S5" s="5"/>
      <c r="T5" s="5"/>
      <c r="U5" s="5"/>
      <c r="V5" s="5"/>
    </row>
    <row r="6" spans="1:22" ht="16" x14ac:dyDescent="0.2">
      <c r="A6" s="95" t="s">
        <v>120</v>
      </c>
      <c r="B6" s="90"/>
      <c r="C6" s="90"/>
      <c r="D6" s="90"/>
      <c r="E6" s="189"/>
      <c r="F6" s="90"/>
      <c r="G6" s="216"/>
      <c r="H6" s="106"/>
      <c r="I6" s="106"/>
      <c r="J6" s="90"/>
      <c r="K6" s="93" t="s">
        <v>124</v>
      </c>
      <c r="L6" s="95" t="s">
        <v>122</v>
      </c>
      <c r="M6" s="237"/>
      <c r="N6" s="5"/>
      <c r="O6" s="5"/>
      <c r="P6" s="5"/>
      <c r="Q6" s="5"/>
      <c r="R6" s="5"/>
      <c r="S6" s="5"/>
      <c r="T6" s="5"/>
      <c r="U6" s="5"/>
      <c r="V6" s="5"/>
    </row>
    <row r="7" spans="1:22" ht="16" x14ac:dyDescent="0.2">
      <c r="A7" s="95" t="s">
        <v>120</v>
      </c>
      <c r="B7" s="90"/>
      <c r="C7" s="90"/>
      <c r="D7" s="90"/>
      <c r="E7" s="189"/>
      <c r="F7" s="90"/>
      <c r="G7" s="216"/>
      <c r="H7" s="106"/>
      <c r="I7" s="106"/>
      <c r="J7" s="90"/>
      <c r="K7" s="93" t="s">
        <v>124</v>
      </c>
      <c r="L7" s="95" t="s">
        <v>122</v>
      </c>
      <c r="M7" s="237"/>
      <c r="N7" s="5"/>
      <c r="O7" s="5"/>
      <c r="P7" s="5"/>
      <c r="Q7" s="5"/>
      <c r="R7" s="5"/>
      <c r="S7" s="5"/>
      <c r="T7" s="5"/>
      <c r="U7" s="5"/>
      <c r="V7" s="5"/>
    </row>
    <row r="8" spans="1:22" ht="16" x14ac:dyDescent="0.2">
      <c r="A8" s="95" t="s">
        <v>120</v>
      </c>
      <c r="B8" s="90"/>
      <c r="C8" s="90"/>
      <c r="D8" s="90"/>
      <c r="E8" s="189"/>
      <c r="F8" s="90"/>
      <c r="G8" s="216"/>
      <c r="H8" s="106"/>
      <c r="I8" s="106"/>
      <c r="J8" s="90"/>
      <c r="K8" s="93" t="s">
        <v>125</v>
      </c>
      <c r="L8" s="95" t="s">
        <v>122</v>
      </c>
      <c r="M8" s="237"/>
      <c r="N8" s="5"/>
      <c r="O8" s="5"/>
      <c r="P8" s="5"/>
      <c r="Q8" s="5"/>
      <c r="R8" s="5"/>
      <c r="S8" s="5"/>
      <c r="T8" s="5"/>
      <c r="U8" s="5"/>
      <c r="V8" s="5"/>
    </row>
    <row r="9" spans="1:22" ht="16" x14ac:dyDescent="0.2">
      <c r="A9" s="95" t="s">
        <v>120</v>
      </c>
      <c r="B9" s="90"/>
      <c r="C9" s="90"/>
      <c r="D9" s="90"/>
      <c r="E9" s="189"/>
      <c r="F9" s="90"/>
      <c r="G9" s="216"/>
      <c r="H9" s="106"/>
      <c r="I9" s="106"/>
      <c r="J9" s="90"/>
      <c r="K9" s="93" t="s">
        <v>125</v>
      </c>
      <c r="L9" s="95" t="s">
        <v>122</v>
      </c>
      <c r="M9" s="237"/>
      <c r="N9" s="103"/>
      <c r="O9" s="102"/>
      <c r="P9" s="104"/>
      <c r="Q9" s="104"/>
      <c r="R9" s="103"/>
      <c r="S9" s="102"/>
      <c r="T9" s="5"/>
      <c r="U9" s="5"/>
      <c r="V9" s="5"/>
    </row>
    <row r="10" spans="1:22" ht="16" x14ac:dyDescent="0.2">
      <c r="A10" s="95" t="s">
        <v>120</v>
      </c>
      <c r="B10" s="90"/>
      <c r="C10" s="90"/>
      <c r="D10" s="90"/>
      <c r="E10" s="189"/>
      <c r="F10" s="90"/>
      <c r="G10" s="216"/>
      <c r="H10" s="106"/>
      <c r="I10" s="106"/>
      <c r="J10" s="90"/>
      <c r="K10" s="93" t="s">
        <v>126</v>
      </c>
      <c r="L10" s="95" t="s">
        <v>122</v>
      </c>
      <c r="M10" s="237"/>
      <c r="N10" s="103"/>
      <c r="O10" s="102"/>
      <c r="P10" s="104"/>
      <c r="Q10" s="103"/>
      <c r="R10" s="104"/>
      <c r="S10" s="102"/>
      <c r="T10" s="5"/>
      <c r="U10" s="5"/>
      <c r="V10" s="5"/>
    </row>
    <row r="11" spans="1:22" ht="16" x14ac:dyDescent="0.2">
      <c r="A11" s="95" t="s">
        <v>120</v>
      </c>
      <c r="B11" s="90"/>
      <c r="C11" s="90"/>
      <c r="D11" s="90"/>
      <c r="E11" s="189"/>
      <c r="F11" s="90"/>
      <c r="G11" s="216"/>
      <c r="H11" s="106"/>
      <c r="I11" s="106"/>
      <c r="J11" s="90"/>
      <c r="K11" s="93" t="s">
        <v>126</v>
      </c>
      <c r="L11" s="95" t="s">
        <v>122</v>
      </c>
      <c r="M11" s="237"/>
      <c r="N11" s="103"/>
      <c r="O11" s="102"/>
      <c r="P11" s="104"/>
      <c r="Q11" s="104"/>
      <c r="R11" s="103"/>
      <c r="S11" s="102"/>
      <c r="T11" s="5"/>
      <c r="U11" s="5"/>
      <c r="V11" s="5"/>
    </row>
    <row r="12" spans="1:22" ht="16" x14ac:dyDescent="0.2">
      <c r="A12" s="95" t="s">
        <v>120</v>
      </c>
      <c r="B12" s="90"/>
      <c r="C12" s="90"/>
      <c r="D12" s="90"/>
      <c r="E12" s="189"/>
      <c r="F12" s="90"/>
      <c r="G12" s="216"/>
      <c r="H12" s="106"/>
      <c r="I12" s="106"/>
      <c r="J12" s="90"/>
      <c r="K12" s="93" t="s">
        <v>124</v>
      </c>
      <c r="L12" s="95" t="s">
        <v>127</v>
      </c>
      <c r="M12" s="237"/>
      <c r="N12" s="103"/>
      <c r="O12" s="102"/>
      <c r="P12" s="104"/>
      <c r="Q12" s="103"/>
      <c r="R12" s="104"/>
      <c r="S12" s="102"/>
      <c r="T12" s="5"/>
      <c r="U12" s="5"/>
      <c r="V12" s="5"/>
    </row>
    <row r="13" spans="1:22" ht="16" x14ac:dyDescent="0.2">
      <c r="A13" s="95" t="s">
        <v>120</v>
      </c>
      <c r="B13" s="90"/>
      <c r="C13" s="90"/>
      <c r="D13" s="90"/>
      <c r="E13" s="189"/>
      <c r="F13" s="90"/>
      <c r="G13" s="216"/>
      <c r="H13" s="106"/>
      <c r="I13" s="106"/>
      <c r="J13" s="90"/>
      <c r="K13" s="93" t="s">
        <v>124</v>
      </c>
      <c r="L13" s="95" t="s">
        <v>127</v>
      </c>
      <c r="M13" s="237"/>
      <c r="N13" s="103"/>
      <c r="O13" s="102"/>
      <c r="P13" s="104"/>
      <c r="Q13" s="104"/>
      <c r="R13" s="103"/>
      <c r="S13" s="102"/>
      <c r="T13" s="5"/>
      <c r="U13" s="5"/>
      <c r="V13" s="5"/>
    </row>
    <row r="14" spans="1:22" ht="16" x14ac:dyDescent="0.2">
      <c r="A14" s="95" t="s">
        <v>120</v>
      </c>
      <c r="B14" s="90"/>
      <c r="C14" s="90"/>
      <c r="D14" s="90"/>
      <c r="E14" s="189"/>
      <c r="F14" s="90"/>
      <c r="G14" s="216"/>
      <c r="H14" s="106"/>
      <c r="I14" s="106"/>
      <c r="J14" s="90"/>
      <c r="K14" s="93" t="s">
        <v>121</v>
      </c>
      <c r="L14" s="95" t="s">
        <v>122</v>
      </c>
      <c r="M14" s="238" t="s">
        <v>235</v>
      </c>
      <c r="N14" s="103"/>
      <c r="O14" s="102"/>
      <c r="P14" s="104"/>
      <c r="Q14" s="103"/>
      <c r="R14" s="104"/>
      <c r="S14" s="102"/>
      <c r="T14" s="5"/>
      <c r="U14" s="5"/>
      <c r="V14" s="5"/>
    </row>
    <row r="15" spans="1:22" ht="16" x14ac:dyDescent="0.2">
      <c r="A15" s="95" t="s">
        <v>120</v>
      </c>
      <c r="B15" s="90"/>
      <c r="C15" s="90"/>
      <c r="D15" s="90"/>
      <c r="E15" s="189"/>
      <c r="F15" s="90"/>
      <c r="G15" s="216"/>
      <c r="H15" s="106"/>
      <c r="I15" s="106"/>
      <c r="J15" s="90"/>
      <c r="K15" s="93" t="s">
        <v>123</v>
      </c>
      <c r="L15" s="95" t="s">
        <v>122</v>
      </c>
      <c r="M15" s="238"/>
      <c r="N15" s="103"/>
      <c r="O15" s="102"/>
      <c r="P15" s="104"/>
      <c r="Q15" s="104"/>
      <c r="R15" s="103"/>
      <c r="S15" s="102"/>
      <c r="T15" s="5"/>
      <c r="U15" s="5"/>
      <c r="V15" s="5"/>
    </row>
    <row r="16" spans="1:22" ht="16" x14ac:dyDescent="0.2">
      <c r="A16" s="95" t="s">
        <v>120</v>
      </c>
      <c r="B16" s="90"/>
      <c r="C16" s="90"/>
      <c r="D16" s="90"/>
      <c r="E16" s="189"/>
      <c r="F16" s="90"/>
      <c r="G16" s="216"/>
      <c r="H16" s="106"/>
      <c r="I16" s="106"/>
      <c r="J16" s="90"/>
      <c r="K16" s="93" t="s">
        <v>124</v>
      </c>
      <c r="L16" s="95" t="s">
        <v>122</v>
      </c>
      <c r="M16" s="238"/>
      <c r="N16" s="103"/>
      <c r="O16" s="102"/>
      <c r="P16" s="104"/>
      <c r="Q16" s="103"/>
      <c r="R16" s="104"/>
      <c r="S16" s="102"/>
      <c r="T16" s="5"/>
      <c r="U16" s="5"/>
      <c r="V16" s="5"/>
    </row>
    <row r="17" spans="1:22" ht="16" x14ac:dyDescent="0.2">
      <c r="A17" s="95" t="s">
        <v>120</v>
      </c>
      <c r="B17" s="90"/>
      <c r="C17" s="90"/>
      <c r="D17" s="90"/>
      <c r="E17" s="189"/>
      <c r="F17" s="90"/>
      <c r="G17" s="216"/>
      <c r="H17" s="106"/>
      <c r="I17" s="106"/>
      <c r="J17" s="90"/>
      <c r="K17" s="93" t="s">
        <v>125</v>
      </c>
      <c r="L17" s="95" t="s">
        <v>122</v>
      </c>
      <c r="M17" s="238"/>
      <c r="N17" s="103"/>
      <c r="O17" s="102"/>
      <c r="P17" s="104"/>
      <c r="Q17" s="104"/>
      <c r="R17" s="103"/>
      <c r="S17" s="102"/>
      <c r="T17" s="5"/>
      <c r="U17" s="5"/>
      <c r="V17" s="5"/>
    </row>
    <row r="18" spans="1:22" ht="16" x14ac:dyDescent="0.2">
      <c r="A18" s="95" t="s">
        <v>120</v>
      </c>
      <c r="B18" s="90"/>
      <c r="C18" s="90"/>
      <c r="D18" s="90"/>
      <c r="E18" s="189"/>
      <c r="F18" s="90"/>
      <c r="G18" s="216"/>
      <c r="H18" s="106"/>
      <c r="I18" s="106"/>
      <c r="J18" s="90"/>
      <c r="K18" s="93" t="s">
        <v>126</v>
      </c>
      <c r="L18" s="95" t="s">
        <v>122</v>
      </c>
      <c r="M18" s="238"/>
      <c r="N18" s="103"/>
      <c r="O18" s="102"/>
      <c r="P18" s="104"/>
      <c r="Q18" s="103"/>
      <c r="R18" s="104"/>
      <c r="S18" s="102"/>
      <c r="T18" s="5"/>
      <c r="U18" s="5"/>
      <c r="V18" s="5"/>
    </row>
    <row r="19" spans="1:22" ht="16" x14ac:dyDescent="0.2">
      <c r="A19" s="95" t="s">
        <v>120</v>
      </c>
      <c r="B19" s="90"/>
      <c r="C19" s="90"/>
      <c r="D19" s="90"/>
      <c r="E19" s="189"/>
      <c r="F19" s="90"/>
      <c r="G19" s="216"/>
      <c r="H19" s="106"/>
      <c r="I19" s="106"/>
      <c r="J19" s="90"/>
      <c r="K19" s="93" t="s">
        <v>124</v>
      </c>
      <c r="L19" s="95" t="s">
        <v>127</v>
      </c>
      <c r="M19" s="238"/>
      <c r="N19" s="103"/>
      <c r="O19" s="102"/>
      <c r="P19" s="104"/>
      <c r="Q19" s="103"/>
      <c r="R19" s="104"/>
      <c r="S19" s="102"/>
      <c r="T19" s="5"/>
      <c r="U19" s="5"/>
      <c r="V19" s="5"/>
    </row>
    <row r="20" spans="1:22" ht="16" x14ac:dyDescent="0.2">
      <c r="A20" s="95" t="s">
        <v>128</v>
      </c>
      <c r="B20" s="90"/>
      <c r="C20" s="90"/>
      <c r="D20" s="90"/>
      <c r="E20" s="189"/>
      <c r="F20" s="90"/>
      <c r="G20" s="216"/>
      <c r="H20" s="106"/>
      <c r="I20" s="106"/>
      <c r="J20" s="90"/>
      <c r="K20" s="93" t="s">
        <v>123</v>
      </c>
      <c r="L20" s="95" t="s">
        <v>122</v>
      </c>
      <c r="M20" s="238" t="s">
        <v>236</v>
      </c>
      <c r="N20" s="103"/>
      <c r="O20" s="102"/>
      <c r="P20" s="104"/>
      <c r="Q20" s="103"/>
      <c r="R20" s="104"/>
      <c r="S20" s="102"/>
      <c r="T20" s="5"/>
      <c r="U20" s="5"/>
      <c r="V20" s="5"/>
    </row>
    <row r="21" spans="1:22" ht="16" x14ac:dyDescent="0.2">
      <c r="A21" s="95" t="s">
        <v>128</v>
      </c>
      <c r="B21" s="90"/>
      <c r="C21" s="90"/>
      <c r="D21" s="90"/>
      <c r="E21" s="189"/>
      <c r="F21" s="90"/>
      <c r="G21" s="216"/>
      <c r="H21" s="106"/>
      <c r="I21" s="106"/>
      <c r="J21" s="90"/>
      <c r="K21" s="93" t="s">
        <v>123</v>
      </c>
      <c r="L21" s="95" t="s">
        <v>122</v>
      </c>
      <c r="M21" s="238"/>
      <c r="N21" s="5"/>
      <c r="O21" s="5"/>
      <c r="P21" s="5"/>
      <c r="Q21" s="5"/>
      <c r="R21" s="5"/>
      <c r="S21" s="5"/>
      <c r="T21" s="5"/>
      <c r="U21" s="5"/>
      <c r="V21" s="5"/>
    </row>
    <row r="22" spans="1:22" ht="16" x14ac:dyDescent="0.2">
      <c r="A22" s="95" t="s">
        <v>128</v>
      </c>
      <c r="B22" s="90"/>
      <c r="C22" s="90"/>
      <c r="D22" s="90"/>
      <c r="E22" s="189"/>
      <c r="F22" s="90"/>
      <c r="G22" s="216"/>
      <c r="H22" s="106"/>
      <c r="I22" s="106"/>
      <c r="J22" s="90"/>
      <c r="K22" s="93" t="s">
        <v>129</v>
      </c>
      <c r="L22" s="95" t="s">
        <v>122</v>
      </c>
      <c r="M22" s="238"/>
      <c r="N22" s="5"/>
      <c r="O22" s="5"/>
      <c r="P22" s="5"/>
      <c r="Q22" s="5"/>
      <c r="R22" s="5"/>
      <c r="S22" s="5"/>
      <c r="T22" s="5"/>
      <c r="U22" s="5"/>
      <c r="V22" s="5"/>
    </row>
    <row r="23" spans="1:22" ht="16" x14ac:dyDescent="0.2">
      <c r="A23" s="95" t="s">
        <v>128</v>
      </c>
      <c r="B23" s="90"/>
      <c r="C23" s="90"/>
      <c r="D23" s="93"/>
      <c r="E23" s="189"/>
      <c r="F23" s="90"/>
      <c r="G23" s="216"/>
      <c r="H23" s="106"/>
      <c r="I23" s="106"/>
      <c r="J23" s="90"/>
      <c r="K23" s="93" t="s">
        <v>129</v>
      </c>
      <c r="L23" s="95" t="s">
        <v>122</v>
      </c>
      <c r="M23" s="238"/>
      <c r="N23" s="5"/>
      <c r="O23" s="5"/>
      <c r="P23" s="5"/>
      <c r="Q23" s="5"/>
      <c r="R23" s="5"/>
      <c r="S23" s="5"/>
      <c r="T23" s="5"/>
      <c r="U23" s="5"/>
      <c r="V23" s="5"/>
    </row>
    <row r="24" spans="1:22" ht="16" x14ac:dyDescent="0.2">
      <c r="A24" s="95" t="s">
        <v>128</v>
      </c>
      <c r="B24" s="90"/>
      <c r="C24" s="90"/>
      <c r="D24" s="90"/>
      <c r="E24" s="189"/>
      <c r="F24" s="90"/>
      <c r="G24" s="216"/>
      <c r="H24" s="106"/>
      <c r="I24" s="106"/>
      <c r="J24" s="90"/>
      <c r="K24" s="93" t="s">
        <v>130</v>
      </c>
      <c r="L24" s="95" t="s">
        <v>122</v>
      </c>
      <c r="M24" s="238"/>
      <c r="N24" s="5"/>
      <c r="O24" s="5"/>
      <c r="P24" s="5"/>
      <c r="Q24" s="5"/>
      <c r="R24" s="5"/>
      <c r="S24" s="5"/>
      <c r="V24" s="5"/>
    </row>
    <row r="25" spans="1:22" ht="16" x14ac:dyDescent="0.2">
      <c r="A25" s="95" t="s">
        <v>128</v>
      </c>
      <c r="B25" s="90"/>
      <c r="C25" s="90"/>
      <c r="D25" s="93"/>
      <c r="E25" s="189"/>
      <c r="F25" s="90"/>
      <c r="G25" s="216"/>
      <c r="H25" s="106"/>
      <c r="I25" s="106"/>
      <c r="J25" s="90"/>
      <c r="K25" s="93" t="s">
        <v>130</v>
      </c>
      <c r="L25" s="95" t="s">
        <v>122</v>
      </c>
      <c r="M25" s="238"/>
      <c r="N25" s="5"/>
      <c r="O25" s="5"/>
      <c r="P25" s="5"/>
      <c r="Q25" s="5"/>
      <c r="R25" s="5"/>
      <c r="S25" s="5"/>
      <c r="V25" s="5"/>
    </row>
    <row r="26" spans="1:22" ht="16" x14ac:dyDescent="0.2">
      <c r="A26" s="95" t="s">
        <v>128</v>
      </c>
      <c r="B26" s="90"/>
      <c r="C26" s="90"/>
      <c r="D26" s="90"/>
      <c r="E26" s="189"/>
      <c r="F26" s="90"/>
      <c r="G26" s="216"/>
      <c r="H26" s="106"/>
      <c r="I26" s="106"/>
      <c r="J26" s="90"/>
      <c r="K26" s="93" t="s">
        <v>126</v>
      </c>
      <c r="L26" s="95" t="s">
        <v>122</v>
      </c>
      <c r="M26" s="238"/>
      <c r="N26" s="5"/>
      <c r="O26" s="5"/>
      <c r="P26" s="5"/>
      <c r="Q26" s="5"/>
      <c r="R26" s="5"/>
      <c r="S26" s="5"/>
      <c r="V26" s="5"/>
    </row>
    <row r="27" spans="1:22" ht="16" x14ac:dyDescent="0.2">
      <c r="A27" s="95" t="s">
        <v>128</v>
      </c>
      <c r="B27" s="90"/>
      <c r="C27" s="90"/>
      <c r="D27" s="93"/>
      <c r="E27" s="189"/>
      <c r="F27" s="90"/>
      <c r="G27" s="216"/>
      <c r="H27" s="106"/>
      <c r="I27" s="106"/>
      <c r="J27" s="90"/>
      <c r="K27" s="93" t="s">
        <v>126</v>
      </c>
      <c r="L27" s="95" t="s">
        <v>122</v>
      </c>
      <c r="M27" s="238"/>
      <c r="N27" s="5"/>
      <c r="O27" s="5"/>
      <c r="P27" s="5"/>
      <c r="Q27" s="5"/>
      <c r="R27" s="5"/>
      <c r="S27" s="5"/>
      <c r="V27" s="5"/>
    </row>
    <row r="28" spans="1:22" ht="16" x14ac:dyDescent="0.2">
      <c r="A28" s="95" t="s">
        <v>128</v>
      </c>
      <c r="B28" s="90"/>
      <c r="C28" s="90"/>
      <c r="D28" s="90"/>
      <c r="E28" s="189"/>
      <c r="F28" s="90"/>
      <c r="G28" s="216"/>
      <c r="H28" s="106"/>
      <c r="I28" s="106"/>
      <c r="J28" s="90"/>
      <c r="K28" s="93" t="s">
        <v>124</v>
      </c>
      <c r="L28" s="95" t="s">
        <v>122</v>
      </c>
      <c r="M28" s="238"/>
      <c r="N28" s="5"/>
      <c r="O28" s="5"/>
      <c r="P28" s="5"/>
      <c r="Q28" s="5"/>
      <c r="R28" s="5"/>
      <c r="S28" s="5"/>
      <c r="V28" s="5"/>
    </row>
    <row r="29" spans="1:22" ht="16" x14ac:dyDescent="0.2">
      <c r="A29" s="95" t="s">
        <v>128</v>
      </c>
      <c r="B29" s="90"/>
      <c r="C29" s="90"/>
      <c r="D29" s="93"/>
      <c r="E29" s="189"/>
      <c r="F29" s="90"/>
      <c r="G29" s="216"/>
      <c r="H29" s="106"/>
      <c r="I29" s="106"/>
      <c r="J29" s="90"/>
      <c r="K29" s="93" t="s">
        <v>124</v>
      </c>
      <c r="L29" s="95" t="s">
        <v>122</v>
      </c>
      <c r="M29" s="238"/>
      <c r="N29" s="5"/>
      <c r="O29" s="5"/>
      <c r="P29" s="5"/>
      <c r="Q29" s="5"/>
      <c r="R29" s="5"/>
      <c r="S29" s="5"/>
      <c r="V29" s="5"/>
    </row>
    <row r="30" spans="1:22" ht="16" x14ac:dyDescent="0.2">
      <c r="A30" s="95" t="s">
        <v>128</v>
      </c>
      <c r="B30" s="90"/>
      <c r="C30" s="90"/>
      <c r="D30" s="90"/>
      <c r="E30" s="189"/>
      <c r="F30" s="90"/>
      <c r="G30" s="216"/>
      <c r="H30" s="106"/>
      <c r="I30" s="106"/>
      <c r="J30" s="90"/>
      <c r="K30" s="93" t="s">
        <v>230</v>
      </c>
      <c r="L30" s="95" t="s">
        <v>134</v>
      </c>
      <c r="M30" s="238"/>
      <c r="N30" s="5"/>
      <c r="O30" s="5"/>
      <c r="P30" s="5"/>
      <c r="Q30" s="5"/>
      <c r="R30" s="5"/>
      <c r="S30" s="5"/>
      <c r="V30" s="5"/>
    </row>
    <row r="31" spans="1:22" ht="16" x14ac:dyDescent="0.2">
      <c r="A31" s="95" t="s">
        <v>128</v>
      </c>
      <c r="B31" s="90"/>
      <c r="C31" s="90"/>
      <c r="D31" s="93"/>
      <c r="E31" s="189"/>
      <c r="F31" s="90"/>
      <c r="G31" s="216"/>
      <c r="H31" s="106"/>
      <c r="I31" s="106"/>
      <c r="J31" s="90"/>
      <c r="K31" s="93" t="s">
        <v>230</v>
      </c>
      <c r="L31" s="95" t="s">
        <v>134</v>
      </c>
      <c r="M31" s="238"/>
      <c r="N31" s="5"/>
      <c r="O31" s="5"/>
      <c r="P31" s="5"/>
      <c r="Q31" s="5"/>
      <c r="R31" s="5"/>
      <c r="S31" s="5"/>
      <c r="V31" s="5"/>
    </row>
    <row r="32" spans="1:22" ht="16" x14ac:dyDescent="0.2">
      <c r="A32" s="95" t="s">
        <v>128</v>
      </c>
      <c r="B32" s="90"/>
      <c r="C32" s="90"/>
      <c r="D32" s="90"/>
      <c r="E32" s="189"/>
      <c r="F32" s="90"/>
      <c r="G32" s="216"/>
      <c r="H32" s="106"/>
      <c r="I32" s="106"/>
      <c r="J32" s="90"/>
      <c r="K32" s="93" t="s">
        <v>129</v>
      </c>
      <c r="L32" s="95" t="s">
        <v>127</v>
      </c>
      <c r="M32" s="238"/>
      <c r="N32" s="5"/>
      <c r="O32" s="5"/>
      <c r="P32" s="5"/>
      <c r="Q32" s="5"/>
      <c r="R32" s="5"/>
      <c r="S32" s="5"/>
      <c r="V32" s="5"/>
    </row>
    <row r="33" spans="1:22" ht="16" x14ac:dyDescent="0.2">
      <c r="A33" s="95" t="s">
        <v>128</v>
      </c>
      <c r="B33" s="90"/>
      <c r="C33" s="90"/>
      <c r="D33" s="93"/>
      <c r="E33" s="189"/>
      <c r="F33" s="90"/>
      <c r="G33" s="216"/>
      <c r="H33" s="106"/>
      <c r="I33" s="106"/>
      <c r="J33" s="90"/>
      <c r="K33" s="93" t="s">
        <v>129</v>
      </c>
      <c r="L33" s="95" t="s">
        <v>127</v>
      </c>
      <c r="M33" s="238"/>
      <c r="N33" s="5"/>
      <c r="O33" s="5"/>
      <c r="P33" s="5"/>
      <c r="Q33" s="5"/>
      <c r="R33" s="5"/>
      <c r="S33" s="5"/>
      <c r="V33" s="5"/>
    </row>
    <row r="34" spans="1:22" ht="16" x14ac:dyDescent="0.2">
      <c r="A34" s="95" t="s">
        <v>128</v>
      </c>
      <c r="B34" s="90"/>
      <c r="C34" s="90"/>
      <c r="D34" s="90"/>
      <c r="E34" s="189"/>
      <c r="F34" s="90"/>
      <c r="G34" s="216"/>
      <c r="H34" s="106"/>
      <c r="I34" s="106"/>
      <c r="J34" s="90"/>
      <c r="K34" s="93" t="s">
        <v>124</v>
      </c>
      <c r="L34" s="95" t="s">
        <v>127</v>
      </c>
      <c r="M34" s="238"/>
      <c r="N34" s="5"/>
      <c r="O34" s="5"/>
      <c r="P34" s="5"/>
      <c r="Q34" s="5"/>
      <c r="R34" s="5"/>
      <c r="S34" s="5"/>
      <c r="V34" s="5"/>
    </row>
    <row r="35" spans="1:22" ht="16" x14ac:dyDescent="0.2">
      <c r="A35" s="95" t="s">
        <v>128</v>
      </c>
      <c r="B35" s="90"/>
      <c r="C35" s="90"/>
      <c r="D35" s="93"/>
      <c r="E35" s="189"/>
      <c r="F35" s="90"/>
      <c r="G35" s="216"/>
      <c r="H35" s="106"/>
      <c r="I35" s="106"/>
      <c r="J35" s="90"/>
      <c r="K35" s="93" t="s">
        <v>124</v>
      </c>
      <c r="L35" s="95" t="s">
        <v>127</v>
      </c>
      <c r="M35" s="238"/>
      <c r="N35" s="5"/>
      <c r="O35" s="5"/>
      <c r="P35" s="5"/>
      <c r="Q35" s="5"/>
      <c r="R35" s="5"/>
      <c r="S35" s="5"/>
      <c r="V35" s="5"/>
    </row>
    <row r="36" spans="1:22" ht="16" x14ac:dyDescent="0.2">
      <c r="A36" s="95" t="s">
        <v>128</v>
      </c>
      <c r="B36" s="90"/>
      <c r="C36" s="90"/>
      <c r="D36" s="93"/>
      <c r="E36" s="189"/>
      <c r="F36" s="90"/>
      <c r="G36" s="216"/>
      <c r="H36" s="106"/>
      <c r="I36" s="106"/>
      <c r="J36" s="90"/>
      <c r="K36" s="93" t="s">
        <v>123</v>
      </c>
      <c r="L36" s="95" t="s">
        <v>122</v>
      </c>
      <c r="M36" s="234" t="s">
        <v>237</v>
      </c>
    </row>
    <row r="37" spans="1:22" ht="16" x14ac:dyDescent="0.2">
      <c r="A37" s="95" t="s">
        <v>128</v>
      </c>
      <c r="B37" s="90"/>
      <c r="C37" s="90"/>
      <c r="D37" s="93"/>
      <c r="E37" s="189"/>
      <c r="F37" s="90"/>
      <c r="G37" s="216"/>
      <c r="H37" s="106"/>
      <c r="I37" s="106"/>
      <c r="J37" s="90"/>
      <c r="K37" s="93" t="s">
        <v>129</v>
      </c>
      <c r="L37" s="95" t="s">
        <v>122</v>
      </c>
      <c r="M37" s="234"/>
    </row>
    <row r="38" spans="1:22" ht="16" x14ac:dyDescent="0.2">
      <c r="A38" s="95" t="s">
        <v>128</v>
      </c>
      <c r="B38" s="90"/>
      <c r="C38" s="90"/>
      <c r="D38" s="93"/>
      <c r="E38" s="189"/>
      <c r="F38" s="90"/>
      <c r="G38" s="216"/>
      <c r="H38" s="106"/>
      <c r="I38" s="106"/>
      <c r="J38" s="90"/>
      <c r="K38" s="93" t="s">
        <v>130</v>
      </c>
      <c r="L38" s="95" t="s">
        <v>122</v>
      </c>
      <c r="M38" s="234"/>
    </row>
    <row r="39" spans="1:22" ht="16" x14ac:dyDescent="0.2">
      <c r="A39" s="95" t="s">
        <v>128</v>
      </c>
      <c r="B39" s="90"/>
      <c r="C39" s="90"/>
      <c r="D39" s="93"/>
      <c r="E39" s="189"/>
      <c r="F39" s="90"/>
      <c r="G39" s="216"/>
      <c r="H39" s="106"/>
      <c r="I39" s="106"/>
      <c r="J39" s="90"/>
      <c r="K39" s="93" t="s">
        <v>126</v>
      </c>
      <c r="L39" s="95" t="s">
        <v>122</v>
      </c>
      <c r="M39" s="234"/>
    </row>
    <row r="40" spans="1:22" ht="16" x14ac:dyDescent="0.2">
      <c r="A40" s="95" t="s">
        <v>128</v>
      </c>
      <c r="B40" s="90"/>
      <c r="C40" s="90"/>
      <c r="D40" s="93"/>
      <c r="E40" s="189"/>
      <c r="F40" s="90"/>
      <c r="G40" s="216"/>
      <c r="H40" s="106"/>
      <c r="I40" s="106"/>
      <c r="J40" s="90"/>
      <c r="K40" s="93" t="s">
        <v>124</v>
      </c>
      <c r="L40" s="95" t="s">
        <v>122</v>
      </c>
      <c r="M40" s="234"/>
    </row>
    <row r="41" spans="1:22" ht="16" x14ac:dyDescent="0.2">
      <c r="A41" s="95" t="s">
        <v>128</v>
      </c>
      <c r="B41" s="90"/>
      <c r="C41" s="90"/>
      <c r="D41" s="93"/>
      <c r="E41" s="189"/>
      <c r="F41" s="90"/>
      <c r="G41" s="216"/>
      <c r="H41" s="106"/>
      <c r="I41" s="106"/>
      <c r="J41" s="90"/>
      <c r="K41" s="93" t="s">
        <v>230</v>
      </c>
      <c r="L41" s="95" t="s">
        <v>134</v>
      </c>
      <c r="M41" s="234"/>
    </row>
    <row r="42" spans="1:22" ht="16" x14ac:dyDescent="0.2">
      <c r="A42" s="95" t="s">
        <v>128</v>
      </c>
      <c r="B42" s="90"/>
      <c r="C42" s="90"/>
      <c r="D42" s="93"/>
      <c r="E42" s="189"/>
      <c r="F42" s="90"/>
      <c r="G42" s="216"/>
      <c r="H42" s="106"/>
      <c r="I42" s="106"/>
      <c r="J42" s="90"/>
      <c r="K42" s="93" t="s">
        <v>129</v>
      </c>
      <c r="L42" s="95" t="s">
        <v>127</v>
      </c>
      <c r="M42" s="234"/>
    </row>
    <row r="43" spans="1:22" ht="16" x14ac:dyDescent="0.2">
      <c r="A43" s="95" t="s">
        <v>128</v>
      </c>
      <c r="B43" s="90"/>
      <c r="C43" s="90"/>
      <c r="D43" s="93"/>
      <c r="E43" s="189"/>
      <c r="F43" s="90"/>
      <c r="G43" s="216"/>
      <c r="H43" s="106"/>
      <c r="I43" s="106"/>
      <c r="J43" s="90"/>
      <c r="K43" s="93" t="s">
        <v>124</v>
      </c>
      <c r="L43" s="95" t="s">
        <v>127</v>
      </c>
      <c r="M43" s="234"/>
    </row>
    <row r="44" spans="1:22" ht="16" x14ac:dyDescent="0.2">
      <c r="A44" s="94" t="s">
        <v>131</v>
      </c>
      <c r="B44" s="93"/>
      <c r="C44" s="93"/>
      <c r="D44" s="93"/>
      <c r="E44" s="190"/>
      <c r="F44" s="90"/>
      <c r="G44" s="217"/>
      <c r="H44" s="107"/>
      <c r="I44" s="107"/>
      <c r="J44" s="90"/>
      <c r="K44" s="93" t="s">
        <v>124</v>
      </c>
      <c r="L44" s="95" t="s">
        <v>122</v>
      </c>
      <c r="M44" s="234" t="s">
        <v>238</v>
      </c>
    </row>
    <row r="45" spans="1:22" ht="16" x14ac:dyDescent="0.2">
      <c r="A45" s="94" t="s">
        <v>131</v>
      </c>
      <c r="B45" s="93"/>
      <c r="C45" s="93"/>
      <c r="D45" s="93"/>
      <c r="E45" s="190"/>
      <c r="F45" s="90"/>
      <c r="G45" s="217"/>
      <c r="H45" s="107"/>
      <c r="I45" s="107"/>
      <c r="J45" s="90"/>
      <c r="K45" s="93" t="s">
        <v>124</v>
      </c>
      <c r="L45" s="95" t="s">
        <v>122</v>
      </c>
      <c r="M45" s="234"/>
    </row>
    <row r="46" spans="1:22" ht="16" x14ac:dyDescent="0.2">
      <c r="A46" s="94" t="s">
        <v>131</v>
      </c>
      <c r="B46" s="90"/>
      <c r="C46" s="93"/>
      <c r="D46" s="93"/>
      <c r="E46" s="189"/>
      <c r="F46" s="90"/>
      <c r="G46" s="216"/>
      <c r="H46" s="106"/>
      <c r="I46" s="107"/>
      <c r="J46" s="90"/>
      <c r="K46" s="93" t="s">
        <v>129</v>
      </c>
      <c r="L46" s="95" t="s">
        <v>122</v>
      </c>
      <c r="M46" s="234"/>
    </row>
    <row r="47" spans="1:22" ht="16" x14ac:dyDescent="0.2">
      <c r="A47" s="94" t="s">
        <v>131</v>
      </c>
      <c r="B47" s="90"/>
      <c r="C47" s="93"/>
      <c r="D47" s="93"/>
      <c r="E47" s="189"/>
      <c r="F47" s="90"/>
      <c r="G47" s="216"/>
      <c r="H47" s="106"/>
      <c r="I47" s="106"/>
      <c r="J47" s="90"/>
      <c r="K47" s="93" t="s">
        <v>129</v>
      </c>
      <c r="L47" s="95" t="s">
        <v>122</v>
      </c>
      <c r="M47" s="234"/>
    </row>
    <row r="48" spans="1:22" ht="16" x14ac:dyDescent="0.2">
      <c r="A48" s="94" t="s">
        <v>131</v>
      </c>
      <c r="B48" s="90"/>
      <c r="C48" s="93"/>
      <c r="D48" s="93"/>
      <c r="E48" s="189"/>
      <c r="F48" s="90"/>
      <c r="G48" s="216"/>
      <c r="H48" s="106"/>
      <c r="I48" s="107"/>
      <c r="J48" s="90"/>
      <c r="K48" s="93" t="s">
        <v>132</v>
      </c>
      <c r="L48" s="95" t="s">
        <v>122</v>
      </c>
      <c r="M48" s="234"/>
    </row>
    <row r="49" spans="1:13" ht="16" x14ac:dyDescent="0.2">
      <c r="A49" s="94" t="s">
        <v>131</v>
      </c>
      <c r="B49" s="90"/>
      <c r="C49" s="93"/>
      <c r="D49" s="93"/>
      <c r="E49" s="189"/>
      <c r="F49" s="90"/>
      <c r="G49" s="216"/>
      <c r="H49" s="106"/>
      <c r="I49" s="106"/>
      <c r="J49" s="90"/>
      <c r="K49" s="93" t="s">
        <v>132</v>
      </c>
      <c r="L49" s="95" t="s">
        <v>122</v>
      </c>
      <c r="M49" s="234"/>
    </row>
    <row r="50" spans="1:13" ht="16" x14ac:dyDescent="0.2">
      <c r="A50" s="94" t="s">
        <v>131</v>
      </c>
      <c r="B50" s="90"/>
      <c r="C50" s="93"/>
      <c r="D50" s="93"/>
      <c r="E50" s="189"/>
      <c r="F50" s="90"/>
      <c r="G50" s="216"/>
      <c r="H50" s="106"/>
      <c r="I50" s="107"/>
      <c r="J50" s="90"/>
      <c r="K50" s="93" t="s">
        <v>126</v>
      </c>
      <c r="L50" s="95" t="s">
        <v>122</v>
      </c>
      <c r="M50" s="234"/>
    </row>
    <row r="51" spans="1:13" ht="16" x14ac:dyDescent="0.2">
      <c r="A51" s="94" t="s">
        <v>131</v>
      </c>
      <c r="B51" s="90"/>
      <c r="C51" s="93"/>
      <c r="D51" s="93"/>
      <c r="E51" s="189"/>
      <c r="F51" s="90"/>
      <c r="G51" s="216"/>
      <c r="H51" s="106"/>
      <c r="I51" s="106"/>
      <c r="J51" s="90"/>
      <c r="K51" s="93" t="s">
        <v>126</v>
      </c>
      <c r="L51" s="95" t="s">
        <v>122</v>
      </c>
      <c r="M51" s="234"/>
    </row>
    <row r="52" spans="1:13" ht="16" x14ac:dyDescent="0.2">
      <c r="A52" s="94" t="s">
        <v>131</v>
      </c>
      <c r="B52" s="90"/>
      <c r="C52" s="93"/>
      <c r="D52" s="93"/>
      <c r="E52" s="189"/>
      <c r="F52" s="90"/>
      <c r="G52" s="216"/>
      <c r="H52" s="106"/>
      <c r="I52" s="107"/>
      <c r="J52" s="90"/>
      <c r="K52" s="93" t="s">
        <v>129</v>
      </c>
      <c r="L52" s="95" t="s">
        <v>127</v>
      </c>
      <c r="M52" s="234"/>
    </row>
    <row r="53" spans="1:13" ht="16" x14ac:dyDescent="0.2">
      <c r="A53" s="94" t="s">
        <v>131</v>
      </c>
      <c r="B53" s="90"/>
      <c r="C53" s="93"/>
      <c r="D53" s="93"/>
      <c r="E53" s="189"/>
      <c r="F53" s="90"/>
      <c r="G53" s="216"/>
      <c r="H53" s="106"/>
      <c r="I53" s="106"/>
      <c r="J53" s="90"/>
      <c r="K53" s="93" t="s">
        <v>129</v>
      </c>
      <c r="L53" s="95" t="s">
        <v>127</v>
      </c>
      <c r="M53" s="234"/>
    </row>
    <row r="54" spans="1:13" ht="16" x14ac:dyDescent="0.2">
      <c r="A54" s="94" t="s">
        <v>131</v>
      </c>
      <c r="B54" s="90"/>
      <c r="C54" s="93"/>
      <c r="D54" s="93"/>
      <c r="E54" s="189"/>
      <c r="F54" s="90"/>
      <c r="G54" s="216"/>
      <c r="H54" s="106"/>
      <c r="I54" s="107"/>
      <c r="J54" s="90"/>
      <c r="K54" s="93" t="s">
        <v>132</v>
      </c>
      <c r="L54" s="95" t="s">
        <v>127</v>
      </c>
      <c r="M54" s="234"/>
    </row>
    <row r="55" spans="1:13" ht="16" x14ac:dyDescent="0.2">
      <c r="A55" s="94" t="s">
        <v>131</v>
      </c>
      <c r="B55" s="90"/>
      <c r="C55" s="93"/>
      <c r="D55" s="93"/>
      <c r="E55" s="189"/>
      <c r="F55" s="90"/>
      <c r="G55" s="216"/>
      <c r="H55" s="106"/>
      <c r="I55" s="106"/>
      <c r="J55" s="90"/>
      <c r="K55" s="93" t="s">
        <v>132</v>
      </c>
      <c r="L55" s="95" t="s">
        <v>127</v>
      </c>
      <c r="M55" s="234"/>
    </row>
    <row r="56" spans="1:13" ht="16" x14ac:dyDescent="0.2">
      <c r="A56" s="94" t="s">
        <v>131</v>
      </c>
      <c r="B56" s="93"/>
      <c r="C56" s="93"/>
      <c r="D56" s="93"/>
      <c r="E56" s="190"/>
      <c r="F56" s="90"/>
      <c r="G56" s="217"/>
      <c r="H56" s="107"/>
      <c r="I56" s="107"/>
      <c r="J56" s="90"/>
      <c r="K56" s="93" t="s">
        <v>124</v>
      </c>
      <c r="L56" s="95" t="s">
        <v>122</v>
      </c>
      <c r="M56" s="234" t="s">
        <v>239</v>
      </c>
    </row>
    <row r="57" spans="1:13" ht="16" x14ac:dyDescent="0.2">
      <c r="A57" s="94" t="s">
        <v>131</v>
      </c>
      <c r="B57" s="90"/>
      <c r="C57" s="93"/>
      <c r="D57" s="93"/>
      <c r="E57" s="189"/>
      <c r="F57" s="90"/>
      <c r="G57" s="216"/>
      <c r="H57" s="106"/>
      <c r="I57" s="107"/>
      <c r="J57" s="90"/>
      <c r="K57" s="93" t="s">
        <v>129</v>
      </c>
      <c r="L57" s="95" t="s">
        <v>122</v>
      </c>
      <c r="M57" s="234"/>
    </row>
    <row r="58" spans="1:13" ht="16" x14ac:dyDescent="0.2">
      <c r="A58" s="94" t="s">
        <v>131</v>
      </c>
      <c r="B58" s="90"/>
      <c r="C58" s="93"/>
      <c r="D58" s="93"/>
      <c r="E58" s="189"/>
      <c r="F58" s="90"/>
      <c r="G58" s="216"/>
      <c r="H58" s="106"/>
      <c r="I58" s="107"/>
      <c r="J58" s="90"/>
      <c r="K58" s="93" t="s">
        <v>132</v>
      </c>
      <c r="L58" s="95" t="s">
        <v>122</v>
      </c>
      <c r="M58" s="234"/>
    </row>
    <row r="59" spans="1:13" ht="16" x14ac:dyDescent="0.2">
      <c r="A59" s="94" t="s">
        <v>131</v>
      </c>
      <c r="B59" s="90"/>
      <c r="C59" s="93"/>
      <c r="D59" s="93"/>
      <c r="E59" s="189"/>
      <c r="F59" s="90"/>
      <c r="G59" s="216"/>
      <c r="H59" s="106"/>
      <c r="I59" s="107"/>
      <c r="J59" s="90"/>
      <c r="K59" s="93" t="s">
        <v>126</v>
      </c>
      <c r="L59" s="95" t="s">
        <v>122</v>
      </c>
      <c r="M59" s="234"/>
    </row>
    <row r="60" spans="1:13" ht="16" x14ac:dyDescent="0.2">
      <c r="A60" s="94" t="s">
        <v>131</v>
      </c>
      <c r="B60" s="90"/>
      <c r="C60" s="93"/>
      <c r="D60" s="93"/>
      <c r="E60" s="189"/>
      <c r="F60" s="90"/>
      <c r="G60" s="216"/>
      <c r="H60" s="106"/>
      <c r="I60" s="107"/>
      <c r="J60" s="90"/>
      <c r="K60" s="93" t="s">
        <v>129</v>
      </c>
      <c r="L60" s="95" t="s">
        <v>127</v>
      </c>
      <c r="M60" s="234"/>
    </row>
    <row r="61" spans="1:13" ht="16" x14ac:dyDescent="0.2">
      <c r="A61" s="94" t="s">
        <v>131</v>
      </c>
      <c r="B61" s="90"/>
      <c r="C61" s="93"/>
      <c r="D61" s="93"/>
      <c r="E61" s="189"/>
      <c r="F61" s="90"/>
      <c r="G61" s="216"/>
      <c r="H61" s="106"/>
      <c r="I61" s="107"/>
      <c r="J61" s="90"/>
      <c r="K61" s="93" t="s">
        <v>132</v>
      </c>
      <c r="L61" s="95" t="s">
        <v>127</v>
      </c>
      <c r="M61" s="234"/>
    </row>
  </sheetData>
  <sheetProtection algorithmName="SHA-512" hashValue="+ik9sBBVh8XM8erzZ8/sVSFH4l4NhQHU5SDclaR6fGrLvpAtXGjb8Ebmo1dixoLsHKyqL4Xb/H4LRzMfR9QFAQ==" saltValue="nlHp83V6YGACkoDbfKARAA==" spinCount="100000" sheet="1" objects="1" scenarios="1"/>
  <mergeCells count="7">
    <mergeCell ref="M44:M55"/>
    <mergeCell ref="M56:M61"/>
    <mergeCell ref="A1:V1"/>
    <mergeCell ref="M2:M13"/>
    <mergeCell ref="M14:M19"/>
    <mergeCell ref="M20:M35"/>
    <mergeCell ref="M36:M43"/>
  </mergeCells>
  <conditionalFormatting sqref="C2:C13">
    <cfRule type="colorScale" priority="48">
      <colorScale>
        <cfvo type="min"/>
        <cfvo type="max"/>
        <color rgb="FF57BB8A"/>
        <color rgb="FFFFFFFF"/>
      </colorScale>
    </cfRule>
  </conditionalFormatting>
  <conditionalFormatting sqref="A2:A61">
    <cfRule type="containsText" dxfId="2" priority="1" operator="containsText" text="ONE EA">
      <formula>NOT(ISERROR(SEARCH("ONE EA",A2)))</formula>
    </cfRule>
    <cfRule type="containsText" dxfId="1" priority="2" operator="containsText" text="GEM">
      <formula>NOT(ISERROR(SEARCH("GEM",A2)))</formula>
    </cfRule>
    <cfRule type="containsText" dxfId="0" priority="3" operator="containsText" text="ANIMAX">
      <formula>NOT(ISERROR(SEARCH("ANIMAX",A2)))</formula>
    </cfRule>
  </conditionalFormatting>
  <dataValidations count="2">
    <dataValidation type="list" allowBlank="1" showErrorMessage="1" sqref="K2:K61" xr:uid="{62803620-94EC-40C5-9A77-3977446E9D34}">
      <formula1>"ENG FM,ENG SPLIT,MAND FM,MAND SPLIT,CANTO FM,BI FM,BM FM,THAI FM,SOT ONLY"</formula1>
    </dataValidation>
    <dataValidation type="list" allowBlank="1" showInputMessage="1" showErrorMessage="1" sqref="A2:A61" xr:uid="{CB288D26-6DD8-DC40-A071-FE03D695A244}">
      <formula1>"ANIMAX, GEM, ONE EA"</formula1>
    </dataValidation>
  </dataValidations>
  <pageMargins left="0.70866141732283505" right="0.70866141732283505" top="0.74803149606299202" bottom="0.74803149606299202" header="0" footer="0"/>
  <pageSetup scale="39" orientation="landscape" horizontalDpi="0" verticalDpi="0"/>
  <headerFooter>
    <oddFooter>&amp;C&amp;"Calibri,Regular"&amp;K00000010 Changi Business Park Central 2, #03-08 Hansapoint @CBP, Singapore 486030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00A452-C463-4914-8C05-589E827372E6}">
          <x14:formula1>
            <xm:f>'#'!$A$1:$A$26</xm:f>
          </x14:formula1>
          <xm:sqref>L2:L61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 summaryRight="0"/>
  </sheetPr>
  <dimension ref="A1:O26"/>
  <sheetViews>
    <sheetView zoomScaleNormal="100" workbookViewId="0">
      <selection activeCell="C12" sqref="C12"/>
    </sheetView>
  </sheetViews>
  <sheetFormatPr baseColWidth="10" defaultColWidth="14.5" defaultRowHeight="15" customHeight="1" x14ac:dyDescent="0.2"/>
  <cols>
    <col min="1" max="1" width="20.5" style="100" customWidth="1"/>
    <col min="2" max="4" width="11.83203125" style="96" customWidth="1"/>
    <col min="5" max="5" width="11.83203125" style="191" customWidth="1"/>
    <col min="6" max="6" width="11.83203125" style="96" customWidth="1"/>
    <col min="7" max="7" width="11.83203125" style="218" customWidth="1"/>
    <col min="8" max="9" width="11.83203125" style="108" customWidth="1"/>
    <col min="10" max="10" width="11.83203125" style="96" customWidth="1"/>
    <col min="11" max="12" width="13.83203125" style="96" customWidth="1"/>
    <col min="13" max="14" width="14.5" style="97"/>
    <col min="15" max="15" width="26.1640625" style="99" customWidth="1"/>
    <col min="16" max="16384" width="14.5" style="97"/>
  </cols>
  <sheetData>
    <row r="1" spans="1:1" ht="15" customHeight="1" x14ac:dyDescent="0.2">
      <c r="A1" s="95" t="s">
        <v>122</v>
      </c>
    </row>
    <row r="2" spans="1:1" ht="15" customHeight="1" x14ac:dyDescent="0.2">
      <c r="A2" s="95" t="s">
        <v>133</v>
      </c>
    </row>
    <row r="3" spans="1:1" ht="15" customHeight="1" x14ac:dyDescent="0.2">
      <c r="A3" s="95" t="s">
        <v>134</v>
      </c>
    </row>
    <row r="4" spans="1:1" ht="15" customHeight="1" x14ac:dyDescent="0.2">
      <c r="A4" s="101" t="s">
        <v>135</v>
      </c>
    </row>
    <row r="5" spans="1:1" ht="15" customHeight="1" x14ac:dyDescent="0.2">
      <c r="A5" s="95" t="s">
        <v>136</v>
      </c>
    </row>
    <row r="6" spans="1:1" ht="15" customHeight="1" x14ac:dyDescent="0.2">
      <c r="A6" s="95" t="s">
        <v>137</v>
      </c>
    </row>
    <row r="7" spans="1:1" ht="15" customHeight="1" x14ac:dyDescent="0.2">
      <c r="A7" s="95" t="s">
        <v>138</v>
      </c>
    </row>
    <row r="8" spans="1:1" ht="15" customHeight="1" x14ac:dyDescent="0.2">
      <c r="A8" s="95" t="s">
        <v>139</v>
      </c>
    </row>
    <row r="9" spans="1:1" ht="15" customHeight="1" x14ac:dyDescent="0.2">
      <c r="A9" s="95" t="s">
        <v>140</v>
      </c>
    </row>
    <row r="10" spans="1:1" ht="15" customHeight="1" x14ac:dyDescent="0.2">
      <c r="A10" s="95" t="s">
        <v>141</v>
      </c>
    </row>
    <row r="11" spans="1:1" ht="15" customHeight="1" x14ac:dyDescent="0.2">
      <c r="A11" s="95" t="s">
        <v>142</v>
      </c>
    </row>
    <row r="12" spans="1:1" ht="15" customHeight="1" x14ac:dyDescent="0.2">
      <c r="A12" s="95" t="s">
        <v>248</v>
      </c>
    </row>
    <row r="13" spans="1:1" ht="15" customHeight="1" x14ac:dyDescent="0.2">
      <c r="A13" s="95" t="s">
        <v>127</v>
      </c>
    </row>
    <row r="14" spans="1:1" ht="15" customHeight="1" x14ac:dyDescent="0.2">
      <c r="A14" s="95" t="s">
        <v>143</v>
      </c>
    </row>
    <row r="15" spans="1:1" ht="15" customHeight="1" x14ac:dyDescent="0.2">
      <c r="A15" s="95" t="s">
        <v>144</v>
      </c>
    </row>
    <row r="16" spans="1:1" ht="15" customHeight="1" x14ac:dyDescent="0.2">
      <c r="A16" s="95" t="s">
        <v>145</v>
      </c>
    </row>
    <row r="17" spans="1:1" ht="15" customHeight="1" x14ac:dyDescent="0.2">
      <c r="A17" s="95" t="s">
        <v>146</v>
      </c>
    </row>
    <row r="18" spans="1:1" ht="15" customHeight="1" x14ac:dyDescent="0.2">
      <c r="A18" s="95" t="s">
        <v>147</v>
      </c>
    </row>
    <row r="19" spans="1:1" ht="15" customHeight="1" x14ac:dyDescent="0.2">
      <c r="A19" s="95" t="s">
        <v>148</v>
      </c>
    </row>
    <row r="20" spans="1:1" ht="15" customHeight="1" x14ac:dyDescent="0.2">
      <c r="A20" s="95" t="s">
        <v>149</v>
      </c>
    </row>
    <row r="21" spans="1:1" ht="15" customHeight="1" x14ac:dyDescent="0.2">
      <c r="A21" s="95" t="s">
        <v>150</v>
      </c>
    </row>
    <row r="22" spans="1:1" ht="15" customHeight="1" x14ac:dyDescent="0.2">
      <c r="A22" s="95" t="s">
        <v>151</v>
      </c>
    </row>
    <row r="23" spans="1:1" ht="15" customHeight="1" x14ac:dyDescent="0.2">
      <c r="A23" s="95" t="s">
        <v>152</v>
      </c>
    </row>
    <row r="24" spans="1:1" ht="15" customHeight="1" x14ac:dyDescent="0.2">
      <c r="A24" s="95" t="s">
        <v>153</v>
      </c>
    </row>
    <row r="25" spans="1:1" ht="15" customHeight="1" x14ac:dyDescent="0.2">
      <c r="A25" s="95" t="s">
        <v>154</v>
      </c>
    </row>
    <row r="26" spans="1:1" ht="15" customHeight="1" x14ac:dyDescent="0.2">
      <c r="A26" s="95" t="s">
        <v>155</v>
      </c>
    </row>
  </sheetData>
  <pageMargins left="0" right="0" top="0" bottom="0" header="0" footer="0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  <pageSetUpPr fitToPage="1"/>
  </sheetPr>
  <dimension ref="A1:P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36.83203125" style="100" customWidth="1"/>
    <col min="4" max="5" width="25.83203125" style="91" customWidth="1"/>
    <col min="6" max="6" width="6.83203125" style="91" customWidth="1"/>
    <col min="7" max="7" width="10.83203125" style="91" customWidth="1"/>
    <col min="8" max="8" width="10.83203125" style="134" customWidth="1"/>
    <col min="9" max="10" width="22.83203125" style="141" customWidth="1"/>
    <col min="11" max="11" width="12.83203125" style="100" customWidth="1"/>
    <col min="12" max="12" width="14.83203125" style="91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157</v>
      </c>
      <c r="B2" s="249"/>
      <c r="C2" s="249"/>
      <c r="D2" s="249"/>
      <c r="E2" s="125"/>
      <c r="F2" s="125"/>
      <c r="G2" s="125"/>
      <c r="H2" s="129"/>
      <c r="I2" s="135"/>
      <c r="J2" s="135"/>
      <c r="K2" s="155"/>
      <c r="L2" s="125"/>
    </row>
    <row r="3" spans="1:12" ht="50.25" customHeight="1" x14ac:dyDescent="0.6">
      <c r="A3" s="251" t="s">
        <v>254</v>
      </c>
      <c r="B3" s="249"/>
      <c r="C3" s="249"/>
      <c r="D3" s="249"/>
      <c r="E3" s="249"/>
      <c r="F3" s="125"/>
      <c r="G3" s="125"/>
      <c r="H3" s="129"/>
      <c r="I3" s="135"/>
      <c r="J3" s="142"/>
      <c r="K3" s="252" t="s">
        <v>158</v>
      </c>
      <c r="L3" s="249"/>
    </row>
    <row r="4" spans="1:12" ht="20" x14ac:dyDescent="0.25">
      <c r="A4" s="253" t="s">
        <v>159</v>
      </c>
      <c r="B4" s="249"/>
      <c r="C4" s="249"/>
      <c r="D4" s="121"/>
      <c r="E4" s="126"/>
      <c r="F4" s="128"/>
      <c r="G4" s="128"/>
      <c r="H4" s="130"/>
      <c r="I4" s="136"/>
      <c r="J4" s="143"/>
      <c r="K4" s="249"/>
      <c r="L4" s="249"/>
    </row>
    <row r="5" spans="1:12" ht="28.5" customHeight="1" x14ac:dyDescent="0.45">
      <c r="A5" s="15"/>
      <c r="B5" s="15"/>
      <c r="C5" s="151"/>
      <c r="D5" s="115"/>
      <c r="E5" s="121"/>
      <c r="F5" s="126"/>
      <c r="G5" s="128"/>
      <c r="H5" s="130"/>
      <c r="I5" s="137"/>
      <c r="J5" s="136"/>
      <c r="K5" s="159"/>
      <c r="L5" s="145"/>
    </row>
    <row r="6" spans="1:12" ht="29.25" customHeight="1" thickBot="1" x14ac:dyDescent="0.25">
      <c r="A6" s="247"/>
      <c r="B6" s="247"/>
      <c r="C6" s="247"/>
      <c r="D6" s="122"/>
      <c r="E6" s="127"/>
      <c r="F6" s="125"/>
      <c r="G6" s="125"/>
      <c r="H6" s="129"/>
      <c r="I6" s="138"/>
      <c r="J6" s="144"/>
      <c r="K6" s="164"/>
      <c r="L6" s="146"/>
    </row>
    <row r="7" spans="1:12" ht="18" customHeight="1" x14ac:dyDescent="0.2">
      <c r="A7" s="242"/>
      <c r="B7" s="240"/>
      <c r="C7" s="240"/>
      <c r="D7" s="240"/>
      <c r="E7" s="240"/>
      <c r="F7" s="241"/>
      <c r="G7" s="239"/>
      <c r="H7" s="240"/>
      <c r="I7" s="240"/>
      <c r="J7" s="240"/>
      <c r="K7" s="240"/>
      <c r="L7" s="241"/>
    </row>
    <row r="8" spans="1:12" ht="18" customHeight="1" x14ac:dyDescent="0.2">
      <c r="A8" s="243"/>
      <c r="B8" s="244"/>
      <c r="C8" s="244"/>
      <c r="D8" s="244"/>
      <c r="E8" s="244"/>
      <c r="F8" s="245"/>
      <c r="G8" s="260"/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260"/>
      <c r="H9" s="244"/>
      <c r="I9" s="244"/>
      <c r="J9" s="244"/>
      <c r="K9" s="244"/>
      <c r="L9" s="245"/>
    </row>
    <row r="10" spans="1:12" ht="18" customHeight="1" x14ac:dyDescent="0.2">
      <c r="A10" s="246"/>
      <c r="B10" s="244"/>
      <c r="C10" s="244"/>
      <c r="D10" s="244"/>
      <c r="E10" s="244"/>
      <c r="F10" s="245"/>
      <c r="G10" s="254"/>
      <c r="H10" s="244"/>
      <c r="I10" s="244"/>
      <c r="J10" s="244"/>
      <c r="K10" s="244"/>
      <c r="L10" s="245"/>
    </row>
    <row r="11" spans="1:12" ht="18" customHeight="1" x14ac:dyDescent="0.2">
      <c r="A11" s="263"/>
      <c r="B11" s="256"/>
      <c r="C11" s="256"/>
      <c r="D11" s="256"/>
      <c r="E11" s="256"/>
      <c r="F11" s="257"/>
      <c r="G11" s="255"/>
      <c r="H11" s="256"/>
      <c r="I11" s="256"/>
      <c r="J11" s="256"/>
      <c r="K11" s="256"/>
      <c r="L11" s="257"/>
    </row>
    <row r="12" spans="1:12" ht="18" customHeight="1" x14ac:dyDescent="0.2">
      <c r="A12" s="261" t="s">
        <v>159</v>
      </c>
      <c r="B12" s="240"/>
      <c r="C12" s="240"/>
      <c r="D12" s="240"/>
      <c r="E12" s="240"/>
      <c r="F12" s="241"/>
      <c r="G12" s="239"/>
      <c r="H12" s="240"/>
      <c r="I12" s="240"/>
      <c r="J12" s="240"/>
      <c r="K12" s="240"/>
      <c r="L12" s="241"/>
    </row>
    <row r="13" spans="1:12" ht="18" customHeight="1" x14ac:dyDescent="0.2">
      <c r="A13" s="262" t="s">
        <v>160</v>
      </c>
      <c r="B13" s="244"/>
      <c r="C13" s="244"/>
      <c r="D13" s="244"/>
      <c r="E13" s="244"/>
      <c r="F13" s="245"/>
      <c r="G13" s="260"/>
      <c r="H13" s="244"/>
      <c r="I13" s="244"/>
      <c r="J13" s="244"/>
      <c r="K13" s="244"/>
      <c r="L13" s="245"/>
    </row>
    <row r="14" spans="1:12" ht="18" customHeight="1" x14ac:dyDescent="0.2">
      <c r="A14" s="262" t="s">
        <v>161</v>
      </c>
      <c r="B14" s="244"/>
      <c r="C14" s="244"/>
      <c r="D14" s="244"/>
      <c r="E14" s="244"/>
      <c r="F14" s="245"/>
      <c r="G14" s="260"/>
      <c r="H14" s="244"/>
      <c r="I14" s="244"/>
      <c r="J14" s="244"/>
      <c r="K14" s="244"/>
      <c r="L14" s="245"/>
    </row>
    <row r="15" spans="1:12" ht="18" customHeight="1" x14ac:dyDescent="0.2">
      <c r="A15" s="76"/>
      <c r="B15" s="77"/>
      <c r="C15" s="152"/>
      <c r="D15" s="116"/>
      <c r="E15" s="116"/>
      <c r="F15" s="147"/>
      <c r="G15" s="254"/>
      <c r="H15" s="244"/>
      <c r="I15" s="244"/>
      <c r="J15" s="244"/>
      <c r="K15" s="244"/>
      <c r="L15" s="245"/>
    </row>
    <row r="16" spans="1:12" ht="18" customHeight="1" x14ac:dyDescent="0.2">
      <c r="A16" s="20"/>
      <c r="B16" s="21"/>
      <c r="C16" s="153"/>
      <c r="D16" s="117"/>
      <c r="E16" s="117"/>
      <c r="F16" s="148"/>
      <c r="G16" s="255"/>
      <c r="H16" s="256"/>
      <c r="I16" s="256"/>
      <c r="J16" s="256"/>
      <c r="K16" s="256"/>
      <c r="L16" s="257"/>
    </row>
    <row r="18" spans="1:15" ht="32" x14ac:dyDescent="0.2">
      <c r="A18" s="192" t="s">
        <v>162</v>
      </c>
      <c r="B18" s="192" t="s">
        <v>105</v>
      </c>
      <c r="C18" s="193" t="s">
        <v>106</v>
      </c>
      <c r="D18" s="258" t="s">
        <v>107</v>
      </c>
      <c r="E18" s="259"/>
      <c r="F18" s="194" t="s">
        <v>108</v>
      </c>
      <c r="G18" s="194" t="s">
        <v>109</v>
      </c>
      <c r="H18" s="195" t="s">
        <v>110</v>
      </c>
      <c r="I18" s="212" t="s">
        <v>111</v>
      </c>
      <c r="J18" s="212" t="s">
        <v>112</v>
      </c>
      <c r="K18" s="193" t="s">
        <v>113</v>
      </c>
      <c r="L18" s="194" t="s">
        <v>114</v>
      </c>
      <c r="M18" s="24"/>
      <c r="N18" s="24"/>
      <c r="O18" s="24"/>
    </row>
    <row r="19" spans="1:15" ht="30" customHeight="1" x14ac:dyDescent="0.2">
      <c r="A19" s="196" t="str">
        <f>IF(B19="","","01:00:00")</f>
        <v/>
      </c>
      <c r="B19" s="197" t="str" cm="1">
        <f t="array" ref="B19">IFERROR(_xlfn._xlws.FILTER('TITLE LIST'!A:N,('TITLE LIST'!N:N="ACANTO FMALLN")+('TITLE LIST'!N:N="ASOT ONLYALLN")+('TITLE LIST'!N:N="ACANTO FM01BN")+('TITLE LIST'!N:N="ASOT ONLY01BN")),"")</f>
        <v/>
      </c>
      <c r="C19" s="198"/>
      <c r="D19" s="198"/>
      <c r="E19" s="198"/>
      <c r="F19" s="199"/>
      <c r="G19" s="199"/>
      <c r="H19" s="200"/>
      <c r="I19" s="201"/>
      <c r="J19" s="201"/>
      <c r="K19" s="198"/>
      <c r="L19" s="202"/>
      <c r="M19" s="29"/>
      <c r="N19" s="29"/>
      <c r="O19" s="29"/>
    </row>
    <row r="20" spans="1:15" ht="30" customHeight="1" x14ac:dyDescent="0.2">
      <c r="A20" s="196" t="str">
        <f t="shared" ref="A20:A38" si="0">IF(B20="","",(TEXT(A19+(SUM(F19)+5)/86400,"hh:mm:ss")))</f>
        <v/>
      </c>
      <c r="B20" s="197"/>
      <c r="C20" s="198"/>
      <c r="D20" s="198"/>
      <c r="E20" s="198"/>
      <c r="F20" s="199"/>
      <c r="G20" s="199"/>
      <c r="H20" s="200"/>
      <c r="I20" s="201"/>
      <c r="J20" s="201"/>
      <c r="K20" s="198"/>
      <c r="L20" s="199"/>
      <c r="M20" s="29"/>
      <c r="N20" s="29"/>
      <c r="O20" s="29"/>
    </row>
    <row r="21" spans="1:15" ht="30" customHeight="1" x14ac:dyDescent="0.2">
      <c r="A21" s="196" t="str">
        <f t="shared" si="0"/>
        <v/>
      </c>
      <c r="B21" s="197"/>
      <c r="C21" s="203"/>
      <c r="D21" s="204"/>
      <c r="E21" s="198"/>
      <c r="F21" s="199"/>
      <c r="G21" s="199"/>
      <c r="H21" s="200"/>
      <c r="I21" s="201"/>
      <c r="J21" s="201"/>
      <c r="K21" s="198"/>
      <c r="L21" s="199"/>
      <c r="M21" s="29"/>
      <c r="N21" s="29"/>
      <c r="O21" s="29"/>
    </row>
    <row r="22" spans="1:15" ht="30" customHeight="1" x14ac:dyDescent="0.2">
      <c r="A22" s="196" t="str">
        <f t="shared" si="0"/>
        <v/>
      </c>
      <c r="B22" s="197"/>
      <c r="C22" s="198"/>
      <c r="D22" s="198"/>
      <c r="E22" s="198"/>
      <c r="F22" s="202"/>
      <c r="G22" s="202"/>
      <c r="H22" s="205"/>
      <c r="I22" s="206"/>
      <c r="J22" s="206"/>
      <c r="K22" s="203"/>
      <c r="L22" s="202"/>
      <c r="M22" s="29"/>
      <c r="N22" s="29"/>
      <c r="O22" s="29"/>
    </row>
    <row r="23" spans="1:15" ht="30" customHeight="1" x14ac:dyDescent="0.2">
      <c r="A23" s="196" t="str">
        <f t="shared" si="0"/>
        <v/>
      </c>
      <c r="B23" s="197"/>
      <c r="C23" s="198"/>
      <c r="D23" s="207"/>
      <c r="E23" s="198"/>
      <c r="F23" s="208"/>
      <c r="G23" s="208"/>
      <c r="H23" s="209"/>
      <c r="I23" s="206"/>
      <c r="J23" s="206"/>
      <c r="K23" s="207"/>
      <c r="L23" s="208"/>
      <c r="M23" s="29"/>
      <c r="N23" s="29"/>
      <c r="O23" s="29"/>
    </row>
    <row r="24" spans="1:15" ht="30" customHeight="1" x14ac:dyDescent="0.2">
      <c r="A24" s="196" t="str">
        <f t="shared" si="0"/>
        <v/>
      </c>
      <c r="B24" s="197"/>
      <c r="C24" s="198"/>
      <c r="D24" s="207"/>
      <c r="E24" s="198"/>
      <c r="F24" s="199"/>
      <c r="G24" s="208"/>
      <c r="H24" s="209"/>
      <c r="I24" s="206"/>
      <c r="J24" s="206"/>
      <c r="K24" s="207"/>
      <c r="L24" s="208"/>
      <c r="M24" s="29"/>
      <c r="N24" s="29"/>
      <c r="O24" s="29"/>
    </row>
    <row r="25" spans="1:15" ht="30" customHeight="1" x14ac:dyDescent="0.2">
      <c r="A25" s="196" t="str">
        <f t="shared" si="0"/>
        <v/>
      </c>
      <c r="B25" s="197"/>
      <c r="C25" s="198"/>
      <c r="D25" s="207"/>
      <c r="E25" s="198"/>
      <c r="F25" s="199"/>
      <c r="G25" s="208"/>
      <c r="H25" s="209"/>
      <c r="I25" s="206"/>
      <c r="J25" s="206"/>
      <c r="K25" s="207"/>
      <c r="L25" s="208"/>
      <c r="M25" s="29"/>
      <c r="N25" s="29"/>
      <c r="O25" s="29"/>
    </row>
    <row r="26" spans="1:15" ht="30" customHeight="1" x14ac:dyDescent="0.2">
      <c r="A26" s="196" t="str">
        <f t="shared" si="0"/>
        <v/>
      </c>
      <c r="B26" s="197"/>
      <c r="C26" s="203"/>
      <c r="D26" s="203"/>
      <c r="E26" s="203"/>
      <c r="F26" s="202"/>
      <c r="G26" s="202"/>
      <c r="H26" s="205"/>
      <c r="I26" s="206"/>
      <c r="J26" s="206"/>
      <c r="K26" s="203"/>
      <c r="L26" s="208"/>
      <c r="M26" s="29"/>
      <c r="N26" s="29"/>
      <c r="O26" s="29"/>
    </row>
    <row r="27" spans="1:15" ht="30" customHeight="1" x14ac:dyDescent="0.2">
      <c r="A27" s="196" t="str">
        <f t="shared" si="0"/>
        <v/>
      </c>
      <c r="B27" s="197"/>
      <c r="C27" s="203"/>
      <c r="D27" s="203"/>
      <c r="E27" s="203"/>
      <c r="F27" s="202"/>
      <c r="G27" s="202"/>
      <c r="H27" s="205"/>
      <c r="I27" s="206"/>
      <c r="J27" s="206"/>
      <c r="K27" s="203"/>
      <c r="L27" s="208"/>
      <c r="M27" s="6"/>
      <c r="N27" s="6"/>
      <c r="O27" s="6"/>
    </row>
    <row r="28" spans="1:15" ht="30" customHeight="1" x14ac:dyDescent="0.2">
      <c r="A28" s="196" t="str">
        <f t="shared" si="0"/>
        <v/>
      </c>
      <c r="B28" s="197"/>
      <c r="C28" s="203"/>
      <c r="D28" s="203"/>
      <c r="E28" s="203"/>
      <c r="F28" s="202"/>
      <c r="G28" s="202"/>
      <c r="H28" s="205"/>
      <c r="I28" s="206"/>
      <c r="J28" s="206"/>
      <c r="K28" s="203"/>
      <c r="L28" s="208"/>
      <c r="M28" s="6"/>
      <c r="N28" s="6"/>
      <c r="O28" s="6"/>
    </row>
    <row r="29" spans="1:15" ht="30" customHeight="1" x14ac:dyDescent="0.2">
      <c r="A29" s="196" t="str">
        <f t="shared" si="0"/>
        <v/>
      </c>
      <c r="B29" s="197"/>
      <c r="C29" s="203"/>
      <c r="D29" s="203"/>
      <c r="E29" s="203"/>
      <c r="F29" s="202"/>
      <c r="G29" s="202"/>
      <c r="H29" s="205"/>
      <c r="I29" s="206"/>
      <c r="J29" s="206"/>
      <c r="K29" s="203"/>
      <c r="L29" s="208"/>
      <c r="M29" s="6"/>
      <c r="N29" s="6"/>
      <c r="O29" s="6"/>
    </row>
    <row r="30" spans="1:15" ht="30" customHeight="1" x14ac:dyDescent="0.2">
      <c r="A30" s="196" t="str">
        <f t="shared" si="0"/>
        <v/>
      </c>
      <c r="B30" s="197"/>
      <c r="C30" s="203"/>
      <c r="D30" s="203"/>
      <c r="E30" s="203"/>
      <c r="F30" s="202"/>
      <c r="G30" s="202"/>
      <c r="H30" s="205"/>
      <c r="I30" s="206"/>
      <c r="J30" s="206"/>
      <c r="K30" s="203"/>
      <c r="L30" s="208"/>
      <c r="M30" s="6"/>
      <c r="N30" s="6"/>
      <c r="O30" s="6"/>
    </row>
    <row r="31" spans="1:15" ht="30" customHeight="1" x14ac:dyDescent="0.2">
      <c r="A31" s="196" t="str">
        <f t="shared" si="0"/>
        <v/>
      </c>
      <c r="B31" s="197"/>
      <c r="C31" s="203"/>
      <c r="D31" s="203"/>
      <c r="E31" s="203"/>
      <c r="F31" s="202"/>
      <c r="G31" s="202"/>
      <c r="H31" s="205"/>
      <c r="I31" s="206"/>
      <c r="J31" s="206"/>
      <c r="K31" s="203"/>
      <c r="L31" s="208"/>
      <c r="M31" s="6"/>
      <c r="N31" s="6"/>
      <c r="O31" s="6"/>
    </row>
    <row r="32" spans="1:15" ht="30" customHeight="1" x14ac:dyDescent="0.2">
      <c r="A32" s="196" t="str">
        <f t="shared" si="0"/>
        <v/>
      </c>
      <c r="B32" s="197"/>
      <c r="C32" s="203"/>
      <c r="D32" s="203"/>
      <c r="E32" s="203"/>
      <c r="F32" s="202"/>
      <c r="G32" s="202"/>
      <c r="H32" s="205"/>
      <c r="I32" s="206"/>
      <c r="J32" s="206"/>
      <c r="K32" s="203"/>
      <c r="L32" s="202"/>
      <c r="M32" s="6"/>
      <c r="N32" s="6"/>
      <c r="O32" s="6"/>
    </row>
    <row r="33" spans="1:15" ht="30" customHeight="1" x14ac:dyDescent="0.2">
      <c r="A33" s="196" t="str">
        <f t="shared" si="0"/>
        <v/>
      </c>
      <c r="B33" s="197"/>
      <c r="C33" s="203"/>
      <c r="D33" s="203"/>
      <c r="E33" s="203"/>
      <c r="F33" s="202"/>
      <c r="G33" s="202"/>
      <c r="H33" s="205"/>
      <c r="I33" s="206"/>
      <c r="J33" s="206"/>
      <c r="K33" s="203"/>
      <c r="L33" s="202"/>
      <c r="M33" s="6"/>
      <c r="N33" s="6"/>
      <c r="O33" s="6"/>
    </row>
    <row r="34" spans="1:15" ht="30" customHeight="1" x14ac:dyDescent="0.2">
      <c r="A34" s="196" t="str">
        <f t="shared" si="0"/>
        <v/>
      </c>
      <c r="B34" s="197"/>
      <c r="C34" s="203"/>
      <c r="D34" s="203"/>
      <c r="E34" s="203"/>
      <c r="F34" s="202"/>
      <c r="G34" s="202"/>
      <c r="H34" s="205"/>
      <c r="I34" s="206"/>
      <c r="J34" s="206"/>
      <c r="K34" s="203"/>
      <c r="L34" s="208"/>
      <c r="M34" s="6"/>
      <c r="N34" s="6"/>
      <c r="O34" s="6"/>
    </row>
    <row r="35" spans="1:15" ht="30" customHeight="1" x14ac:dyDescent="0.2">
      <c r="A35" s="196" t="str">
        <f t="shared" si="0"/>
        <v/>
      </c>
      <c r="B35" s="197"/>
      <c r="C35" s="203"/>
      <c r="D35" s="203"/>
      <c r="E35" s="203"/>
      <c r="F35" s="202"/>
      <c r="G35" s="202"/>
      <c r="H35" s="205"/>
      <c r="I35" s="206"/>
      <c r="J35" s="206"/>
      <c r="K35" s="203"/>
      <c r="L35" s="208"/>
      <c r="M35" s="6"/>
      <c r="N35" s="6"/>
      <c r="O35" s="6"/>
    </row>
    <row r="36" spans="1:15" ht="30" customHeight="1" x14ac:dyDescent="0.2">
      <c r="A36" s="196" t="str">
        <f t="shared" si="0"/>
        <v/>
      </c>
      <c r="B36" s="197"/>
      <c r="C36" s="203"/>
      <c r="D36" s="203"/>
      <c r="E36" s="203"/>
      <c r="F36" s="202"/>
      <c r="G36" s="202"/>
      <c r="H36" s="205"/>
      <c r="I36" s="206"/>
      <c r="J36" s="206"/>
      <c r="K36" s="203"/>
      <c r="L36" s="202"/>
      <c r="M36" s="6"/>
      <c r="N36" s="6"/>
      <c r="O36" s="6"/>
    </row>
    <row r="37" spans="1:15" ht="30" customHeight="1" x14ac:dyDescent="0.2">
      <c r="A37" s="196" t="str">
        <f t="shared" si="0"/>
        <v/>
      </c>
      <c r="B37" s="197"/>
      <c r="C37" s="203"/>
      <c r="D37" s="203"/>
      <c r="E37" s="203"/>
      <c r="F37" s="202"/>
      <c r="G37" s="202"/>
      <c r="H37" s="205"/>
      <c r="I37" s="206"/>
      <c r="J37" s="206"/>
      <c r="K37" s="203"/>
      <c r="L37" s="202"/>
      <c r="M37" s="6"/>
      <c r="N37" s="6"/>
      <c r="O37" s="6"/>
    </row>
    <row r="38" spans="1:15" ht="30" customHeight="1" x14ac:dyDescent="0.2">
      <c r="A38" s="196" t="str">
        <f t="shared" si="0"/>
        <v/>
      </c>
      <c r="B38" s="197"/>
      <c r="C38" s="203"/>
      <c r="D38" s="203"/>
      <c r="E38" s="203"/>
      <c r="F38" s="202"/>
      <c r="G38" s="202"/>
      <c r="H38" s="205"/>
      <c r="I38" s="206"/>
      <c r="J38" s="206"/>
      <c r="K38" s="203"/>
      <c r="L38" s="202"/>
      <c r="M38" s="6"/>
      <c r="N38" s="6"/>
      <c r="O38" s="6"/>
    </row>
    <row r="39" spans="1:15" ht="30" customHeight="1" x14ac:dyDescent="0.2">
      <c r="A39" s="196" t="str">
        <f t="shared" ref="A39:A44" si="1">IF(B39="","",(TEXT(A38+(SUM(F38)+5)/86400,"hh:mm:ss")))</f>
        <v/>
      </c>
      <c r="B39" s="197"/>
      <c r="C39" s="203"/>
      <c r="D39" s="203"/>
      <c r="E39" s="203"/>
      <c r="F39" s="202"/>
      <c r="G39" s="202"/>
      <c r="H39" s="205"/>
      <c r="I39" s="206"/>
      <c r="J39" s="206"/>
      <c r="K39" s="203"/>
      <c r="L39" s="202"/>
      <c r="M39" s="6"/>
      <c r="N39" s="6"/>
      <c r="O39" s="6"/>
    </row>
    <row r="40" spans="1:15" ht="30" customHeight="1" x14ac:dyDescent="0.2">
      <c r="A40" s="196" t="str">
        <f t="shared" si="1"/>
        <v/>
      </c>
      <c r="B40" s="197"/>
      <c r="C40" s="203"/>
      <c r="D40" s="203"/>
      <c r="E40" s="203"/>
      <c r="F40" s="202"/>
      <c r="G40" s="202"/>
      <c r="H40" s="205"/>
      <c r="I40" s="206"/>
      <c r="J40" s="206"/>
      <c r="K40" s="203"/>
      <c r="L40" s="208"/>
      <c r="M40" s="6"/>
      <c r="N40" s="6"/>
      <c r="O40" s="6"/>
    </row>
    <row r="41" spans="1:15" ht="30" customHeight="1" x14ac:dyDescent="0.2">
      <c r="A41" s="196" t="str">
        <f t="shared" si="1"/>
        <v/>
      </c>
      <c r="B41" s="197"/>
      <c r="C41" s="203"/>
      <c r="D41" s="203"/>
      <c r="E41" s="203"/>
      <c r="F41" s="202"/>
      <c r="G41" s="202"/>
      <c r="H41" s="205"/>
      <c r="I41" s="206"/>
      <c r="J41" s="206"/>
      <c r="K41" s="203"/>
      <c r="L41" s="208"/>
      <c r="M41" s="6"/>
      <c r="N41" s="6"/>
      <c r="O41" s="6"/>
    </row>
    <row r="42" spans="1:15" ht="30" customHeight="1" x14ac:dyDescent="0.2">
      <c r="A42" s="196" t="str">
        <f t="shared" si="1"/>
        <v/>
      </c>
      <c r="B42" s="197"/>
      <c r="C42" s="203"/>
      <c r="D42" s="203"/>
      <c r="E42" s="203"/>
      <c r="F42" s="202"/>
      <c r="G42" s="202"/>
      <c r="H42" s="205"/>
      <c r="I42" s="206"/>
      <c r="J42" s="206"/>
      <c r="K42" s="203"/>
      <c r="L42" s="202"/>
      <c r="M42" s="6"/>
      <c r="N42" s="6"/>
      <c r="O42" s="6"/>
    </row>
    <row r="43" spans="1:15" ht="30" customHeight="1" x14ac:dyDescent="0.2">
      <c r="A43" s="196" t="str">
        <f t="shared" si="1"/>
        <v/>
      </c>
      <c r="B43" s="197"/>
      <c r="C43" s="203"/>
      <c r="D43" s="203"/>
      <c r="E43" s="203"/>
      <c r="F43" s="202"/>
      <c r="G43" s="202"/>
      <c r="H43" s="205"/>
      <c r="I43" s="206"/>
      <c r="J43" s="206"/>
      <c r="K43" s="203"/>
      <c r="L43" s="202"/>
      <c r="M43" s="6"/>
      <c r="N43" s="6"/>
      <c r="O43" s="6"/>
    </row>
    <row r="44" spans="1:15" ht="30" customHeight="1" x14ac:dyDescent="0.2">
      <c r="A44" s="196" t="str">
        <f t="shared" si="1"/>
        <v/>
      </c>
      <c r="B44" s="197"/>
      <c r="C44" s="203"/>
      <c r="D44" s="203"/>
      <c r="E44" s="203"/>
      <c r="F44" s="202"/>
      <c r="G44" s="202"/>
      <c r="H44" s="205"/>
      <c r="I44" s="206"/>
      <c r="J44" s="206"/>
      <c r="K44" s="203"/>
      <c r="L44" s="202"/>
      <c r="M44" s="6"/>
      <c r="N44" s="6"/>
      <c r="O44" s="6"/>
    </row>
    <row r="45" spans="1:15" ht="30" customHeight="1" x14ac:dyDescent="0.2">
      <c r="A45" s="196" t="str">
        <f t="shared" ref="A45" si="2">IF(B45="","",(TEXT(A44+(SUM(F44)+5)/86400,"hh:mm:ss")))</f>
        <v/>
      </c>
      <c r="B45" s="197"/>
      <c r="C45" s="203"/>
      <c r="D45" s="203"/>
      <c r="E45" s="203"/>
      <c r="F45" s="202"/>
      <c r="G45" s="202"/>
      <c r="H45" s="205"/>
      <c r="I45" s="206"/>
      <c r="J45" s="206"/>
      <c r="K45" s="203"/>
      <c r="L45" s="202"/>
      <c r="M45" s="6"/>
      <c r="N45" s="6"/>
      <c r="O45" s="6"/>
    </row>
  </sheetData>
  <mergeCells count="25">
    <mergeCell ref="G15:L15"/>
    <mergeCell ref="G16:L16"/>
    <mergeCell ref="D18:E18"/>
    <mergeCell ref="G8:L8"/>
    <mergeCell ref="G9:L9"/>
    <mergeCell ref="G10:L10"/>
    <mergeCell ref="G11:L11"/>
    <mergeCell ref="G12:L12"/>
    <mergeCell ref="G13:L13"/>
    <mergeCell ref="G14:L14"/>
    <mergeCell ref="A12:F12"/>
    <mergeCell ref="A13:F13"/>
    <mergeCell ref="A14:F14"/>
    <mergeCell ref="A10:F10"/>
    <mergeCell ref="A11:F11"/>
    <mergeCell ref="A1:L1"/>
    <mergeCell ref="A2:D2"/>
    <mergeCell ref="A3:E3"/>
    <mergeCell ref="K3:L4"/>
    <mergeCell ref="A4:C4"/>
    <mergeCell ref="G7:L7"/>
    <mergeCell ref="A7:F7"/>
    <mergeCell ref="A8:F8"/>
    <mergeCell ref="A9:F9"/>
    <mergeCell ref="A6:C6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  <pageSetUpPr fitToPage="1"/>
  </sheetPr>
  <dimension ref="A1:P45"/>
  <sheetViews>
    <sheetView showZeros="0" zoomScale="70" zoomScaleNormal="70" workbookViewId="0">
      <selection activeCell="D23" sqref="D23"/>
    </sheetView>
  </sheetViews>
  <sheetFormatPr baseColWidth="10" defaultColWidth="14.5" defaultRowHeight="15" customHeight="1" x14ac:dyDescent="0.2"/>
  <cols>
    <col min="1" max="1" width="10.83203125" style="100" customWidth="1"/>
    <col min="2" max="2" width="10.83203125" style="97" customWidth="1"/>
    <col min="3" max="3" width="36.83203125" style="100" customWidth="1"/>
    <col min="4" max="5" width="25.83203125" style="100" customWidth="1"/>
    <col min="6" max="6" width="6.83203125" style="100" customWidth="1"/>
    <col min="7" max="7" width="10.83203125" style="100" customWidth="1"/>
    <col min="8" max="8" width="10.83203125" style="114" customWidth="1"/>
    <col min="9" max="10" width="22.83203125" style="141" customWidth="1"/>
    <col min="11" max="11" width="12.83203125" style="100" customWidth="1"/>
    <col min="12" max="12" width="14.83203125" style="100" customWidth="1"/>
    <col min="13" max="16" width="9.1640625" hidden="1" customWidth="1"/>
    <col min="17" max="26" width="9.1640625" customWidth="1"/>
  </cols>
  <sheetData>
    <row r="1" spans="1:12" ht="20" customHeight="1" x14ac:dyDescent="0.25">
      <c r="A1" s="264" t="s">
        <v>156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</row>
    <row r="2" spans="1:12" x14ac:dyDescent="0.2">
      <c r="A2" s="266" t="s">
        <v>157</v>
      </c>
      <c r="B2" s="265"/>
      <c r="C2" s="265"/>
      <c r="D2" s="265"/>
      <c r="E2" s="155"/>
      <c r="F2" s="155"/>
      <c r="G2" s="155"/>
      <c r="H2" s="171"/>
      <c r="I2" s="135"/>
      <c r="J2" s="135"/>
      <c r="K2" s="155"/>
      <c r="L2" s="155"/>
    </row>
    <row r="3" spans="1:12" ht="50.25" customHeight="1" x14ac:dyDescent="0.6">
      <c r="A3" s="267" t="s">
        <v>255</v>
      </c>
      <c r="B3" s="265"/>
      <c r="C3" s="265"/>
      <c r="D3" s="265"/>
      <c r="E3" s="265"/>
      <c r="F3" s="155"/>
      <c r="G3" s="155"/>
      <c r="H3" s="171"/>
      <c r="I3" s="135"/>
      <c r="J3" s="142"/>
      <c r="K3" s="268" t="s">
        <v>158</v>
      </c>
      <c r="L3" s="265"/>
    </row>
    <row r="4" spans="1:12" ht="19" x14ac:dyDescent="0.25">
      <c r="A4" s="269" t="s">
        <v>163</v>
      </c>
      <c r="B4" s="265"/>
      <c r="C4" s="265"/>
      <c r="D4" s="156"/>
      <c r="E4" s="157"/>
      <c r="F4" s="158"/>
      <c r="G4" s="158"/>
      <c r="H4" s="172"/>
      <c r="I4" s="136"/>
      <c r="J4" s="143"/>
      <c r="K4" s="265"/>
      <c r="L4" s="265"/>
    </row>
    <row r="5" spans="1:12" ht="28.5" customHeight="1" x14ac:dyDescent="0.45">
      <c r="A5" s="270"/>
      <c r="B5" s="265"/>
      <c r="C5" s="265"/>
      <c r="D5" s="265"/>
      <c r="E5" s="156"/>
      <c r="F5" s="157"/>
      <c r="G5" s="158"/>
      <c r="H5" s="172"/>
      <c r="I5" s="137"/>
      <c r="J5" s="136"/>
      <c r="K5" s="159"/>
      <c r="L5" s="160"/>
    </row>
    <row r="6" spans="1:12" ht="29.25" customHeight="1" thickBot="1" x14ac:dyDescent="0.25">
      <c r="A6" s="278"/>
      <c r="B6" s="278"/>
      <c r="C6" s="278"/>
      <c r="D6" s="161"/>
      <c r="E6" s="162"/>
      <c r="F6" s="155"/>
      <c r="G6" s="155"/>
      <c r="H6" s="171"/>
      <c r="I6" s="138"/>
      <c r="J6" s="144"/>
      <c r="K6" s="164"/>
      <c r="L6" s="163"/>
    </row>
    <row r="7" spans="1:12" ht="18" customHeight="1" x14ac:dyDescent="0.2">
      <c r="A7" s="271"/>
      <c r="B7" s="272"/>
      <c r="C7" s="272"/>
      <c r="D7" s="272"/>
      <c r="E7" s="272"/>
      <c r="F7" s="273"/>
      <c r="G7" s="274"/>
      <c r="H7" s="272"/>
      <c r="I7" s="272"/>
      <c r="J7" s="272"/>
      <c r="K7" s="272"/>
      <c r="L7" s="273"/>
    </row>
    <row r="8" spans="1:12" ht="18" customHeight="1" x14ac:dyDescent="0.2">
      <c r="A8" s="165"/>
      <c r="B8" s="181"/>
      <c r="C8" s="152"/>
      <c r="D8" s="152"/>
      <c r="E8" s="152"/>
      <c r="F8" s="166"/>
      <c r="G8" s="275"/>
      <c r="H8" s="276"/>
      <c r="I8" s="276"/>
      <c r="J8" s="276"/>
      <c r="K8" s="276"/>
      <c r="L8" s="277"/>
    </row>
    <row r="9" spans="1:12" ht="18" customHeight="1" x14ac:dyDescent="0.2">
      <c r="A9" s="279"/>
      <c r="B9" s="276"/>
      <c r="C9" s="276"/>
      <c r="D9" s="276"/>
      <c r="E9" s="276"/>
      <c r="F9" s="277"/>
      <c r="G9" s="275"/>
      <c r="H9" s="276"/>
      <c r="I9" s="276"/>
      <c r="J9" s="276"/>
      <c r="K9" s="276"/>
      <c r="L9" s="277"/>
    </row>
    <row r="10" spans="1:12" ht="18" customHeight="1" x14ac:dyDescent="0.2">
      <c r="A10" s="279"/>
      <c r="B10" s="276"/>
      <c r="C10" s="276"/>
      <c r="D10" s="276"/>
      <c r="E10" s="276"/>
      <c r="F10" s="277"/>
      <c r="G10" s="275"/>
      <c r="H10" s="276"/>
      <c r="I10" s="276"/>
      <c r="J10" s="276"/>
      <c r="K10" s="276"/>
      <c r="L10" s="277"/>
    </row>
    <row r="11" spans="1:12" ht="18" customHeight="1" thickBot="1" x14ac:dyDescent="0.25">
      <c r="A11" s="285"/>
      <c r="B11" s="281"/>
      <c r="C11" s="281"/>
      <c r="D11" s="281"/>
      <c r="E11" s="281"/>
      <c r="F11" s="282"/>
      <c r="G11" s="280"/>
      <c r="H11" s="281"/>
      <c r="I11" s="281"/>
      <c r="J11" s="281"/>
      <c r="K11" s="281"/>
      <c r="L11" s="282"/>
    </row>
    <row r="12" spans="1:12" ht="18" customHeight="1" x14ac:dyDescent="0.2">
      <c r="A12" s="286" t="s">
        <v>159</v>
      </c>
      <c r="B12" s="272"/>
      <c r="C12" s="272"/>
      <c r="D12" s="272"/>
      <c r="E12" s="272"/>
      <c r="F12" s="273"/>
      <c r="G12" s="239" t="s">
        <v>128</v>
      </c>
      <c r="H12" s="240"/>
      <c r="I12" s="240"/>
      <c r="J12" s="240"/>
      <c r="K12" s="240"/>
      <c r="L12" s="241"/>
    </row>
    <row r="13" spans="1:12" ht="18" customHeight="1" x14ac:dyDescent="0.2">
      <c r="A13" s="287" t="s">
        <v>160</v>
      </c>
      <c r="B13" s="276"/>
      <c r="C13" s="276"/>
      <c r="D13" s="276"/>
      <c r="E13" s="276"/>
      <c r="F13" s="277"/>
      <c r="G13" s="260" t="s">
        <v>231</v>
      </c>
      <c r="H13" s="244"/>
      <c r="I13" s="244"/>
      <c r="J13" s="244"/>
      <c r="K13" s="244"/>
      <c r="L13" s="245"/>
    </row>
    <row r="14" spans="1:12" ht="18" customHeight="1" x14ac:dyDescent="0.2">
      <c r="A14" s="287" t="s">
        <v>161</v>
      </c>
      <c r="B14" s="276"/>
      <c r="C14" s="276"/>
      <c r="D14" s="276"/>
      <c r="E14" s="276"/>
      <c r="F14" s="277"/>
      <c r="G14" s="260" t="s">
        <v>167</v>
      </c>
      <c r="H14" s="244"/>
      <c r="I14" s="244"/>
      <c r="J14" s="244"/>
      <c r="K14" s="244"/>
      <c r="L14" s="245"/>
    </row>
    <row r="15" spans="1:12" ht="18" customHeight="1" x14ac:dyDescent="0.2">
      <c r="A15" s="167"/>
      <c r="B15" s="181"/>
      <c r="C15" s="152"/>
      <c r="D15" s="152"/>
      <c r="E15" s="152"/>
      <c r="F15" s="166"/>
      <c r="G15" s="275"/>
      <c r="H15" s="276"/>
      <c r="I15" s="276"/>
      <c r="J15" s="276"/>
      <c r="K15" s="276"/>
      <c r="L15" s="277"/>
    </row>
    <row r="16" spans="1:12" ht="18" customHeight="1" x14ac:dyDescent="0.2">
      <c r="A16" s="168"/>
      <c r="B16" s="182"/>
      <c r="C16" s="153"/>
      <c r="D16" s="153"/>
      <c r="E16" s="153"/>
      <c r="F16" s="169"/>
      <c r="G16" s="280"/>
      <c r="H16" s="281"/>
      <c r="I16" s="281"/>
      <c r="J16" s="281"/>
      <c r="K16" s="281"/>
      <c r="L16" s="282"/>
    </row>
    <row r="18" spans="1:15" ht="32" x14ac:dyDescent="0.2">
      <c r="A18" s="154" t="s">
        <v>162</v>
      </c>
      <c r="B18" s="183" t="s">
        <v>105</v>
      </c>
      <c r="C18" s="154" t="s">
        <v>106</v>
      </c>
      <c r="D18" s="283" t="s">
        <v>107</v>
      </c>
      <c r="E18" s="284"/>
      <c r="F18" s="154" t="s">
        <v>108</v>
      </c>
      <c r="G18" s="154" t="s">
        <v>109</v>
      </c>
      <c r="H18" s="173" t="s">
        <v>110</v>
      </c>
      <c r="I18" s="213" t="s">
        <v>111</v>
      </c>
      <c r="J18" s="213" t="s">
        <v>112</v>
      </c>
      <c r="K18" s="154" t="s">
        <v>113</v>
      </c>
      <c r="L18" s="154" t="s">
        <v>114</v>
      </c>
      <c r="M18" s="24"/>
      <c r="N18" s="24"/>
      <c r="O18" s="24"/>
    </row>
    <row r="19" spans="1:15" ht="30" customHeight="1" x14ac:dyDescent="0.2">
      <c r="A19" s="120" t="str">
        <f>IF(B19="","","01:00:00")</f>
        <v/>
      </c>
      <c r="B19" s="27" t="str" cm="1">
        <f t="array" ref="B19">IFERROR(_xlfn._xlws.FILTER('TITLE LIST'!A:N,('TITLE LIST'!N:N="ACANTO FMALLN")+('TITLE LIST'!N:N="ASOT ONLYALLN")+('TITLE LIST'!N:N="ACANTO FM01CN")+('TITLE LIST'!N:N="ASOT ONLY01CN")+('TITLE LIST'!N:N="GSOT ONLY01CN")+('TITLE LIST'!N:N="GSOT ONLYALLN")+('TITLE LIST'!N:N="GSOT ONLY01CY")+('TITLE LIST'!N:N="GSOT ONLYALLY")),"")</f>
        <v/>
      </c>
      <c r="C19" s="119"/>
      <c r="D19" s="119"/>
      <c r="E19" s="119"/>
      <c r="F19" s="119"/>
      <c r="G19" s="119"/>
      <c r="H19" s="175"/>
      <c r="I19" s="139"/>
      <c r="J19" s="139"/>
      <c r="K19" s="119"/>
      <c r="L19" s="119"/>
      <c r="M19" s="29"/>
      <c r="N19" s="29"/>
      <c r="O19" s="29"/>
    </row>
    <row r="20" spans="1:15" ht="30" customHeight="1" x14ac:dyDescent="0.2">
      <c r="A20" s="120" t="str">
        <f t="shared" ref="A20:A38" si="0">IF(B20="","",(TEXT(A19+(SUM(F19)+5)/86400,"hh:mm:ss")))</f>
        <v/>
      </c>
      <c r="B20" s="27"/>
      <c r="C20" s="119"/>
      <c r="D20" s="119"/>
      <c r="E20" s="119"/>
      <c r="F20" s="119"/>
      <c r="G20" s="119"/>
      <c r="H20" s="175"/>
      <c r="I20" s="139"/>
      <c r="J20" s="139"/>
      <c r="K20" s="119"/>
      <c r="L20" s="119"/>
      <c r="M20" s="29"/>
      <c r="N20" s="29"/>
      <c r="O20" s="29"/>
    </row>
    <row r="21" spans="1:15" ht="30" customHeight="1" x14ac:dyDescent="0.2">
      <c r="A21" s="120" t="str">
        <f t="shared" si="0"/>
        <v/>
      </c>
      <c r="B21" s="30"/>
      <c r="C21" s="120"/>
      <c r="D21" s="120"/>
      <c r="E21" s="120"/>
      <c r="F21" s="120"/>
      <c r="G21" s="120"/>
      <c r="H21" s="174"/>
      <c r="I21" s="140"/>
      <c r="J21" s="140"/>
      <c r="K21" s="120"/>
      <c r="L21" s="120"/>
      <c r="M21" s="29"/>
      <c r="N21" s="29"/>
      <c r="O21" s="29"/>
    </row>
    <row r="22" spans="1:15" ht="30" customHeight="1" x14ac:dyDescent="0.2">
      <c r="A22" s="120" t="str">
        <f t="shared" si="0"/>
        <v/>
      </c>
      <c r="B22" s="30"/>
      <c r="C22" s="120"/>
      <c r="D22" s="120"/>
      <c r="E22" s="120"/>
      <c r="F22" s="120"/>
      <c r="G22" s="120"/>
      <c r="H22" s="174"/>
      <c r="I22" s="140"/>
      <c r="J22" s="140"/>
      <c r="K22" s="120"/>
      <c r="L22" s="120"/>
      <c r="M22" s="29"/>
      <c r="N22" s="29"/>
      <c r="O22" s="29"/>
    </row>
    <row r="23" spans="1:15" ht="30" customHeight="1" x14ac:dyDescent="0.2">
      <c r="A23" s="120" t="str">
        <f t="shared" si="0"/>
        <v/>
      </c>
      <c r="B23" s="30"/>
      <c r="C23" s="170"/>
      <c r="D23" s="170"/>
      <c r="E23" s="170"/>
      <c r="F23" s="170"/>
      <c r="G23" s="170"/>
      <c r="H23" s="176"/>
      <c r="I23" s="140"/>
      <c r="J23" s="140"/>
      <c r="K23" s="170"/>
      <c r="L23" s="170"/>
      <c r="M23" s="29"/>
      <c r="N23" s="29"/>
      <c r="O23" s="29"/>
    </row>
    <row r="24" spans="1:15" ht="30" customHeight="1" x14ac:dyDescent="0.2">
      <c r="A24" s="120" t="str">
        <f t="shared" si="0"/>
        <v/>
      </c>
      <c r="B24" s="30"/>
      <c r="C24" s="170"/>
      <c r="D24" s="170"/>
      <c r="E24" s="170"/>
      <c r="F24" s="170"/>
      <c r="G24" s="170"/>
      <c r="H24" s="176"/>
      <c r="I24" s="140"/>
      <c r="J24" s="140"/>
      <c r="K24" s="170"/>
      <c r="L24" s="170"/>
      <c r="M24" s="29"/>
      <c r="N24" s="29"/>
      <c r="O24" s="29"/>
    </row>
    <row r="25" spans="1:15" ht="30" customHeight="1" x14ac:dyDescent="0.2">
      <c r="A25" s="120" t="str">
        <f t="shared" si="0"/>
        <v/>
      </c>
      <c r="B25" s="30"/>
      <c r="C25" s="170"/>
      <c r="D25" s="170"/>
      <c r="E25" s="170"/>
      <c r="F25" s="170"/>
      <c r="G25" s="170"/>
      <c r="H25" s="176"/>
      <c r="I25" s="140"/>
      <c r="J25" s="140"/>
      <c r="K25" s="170"/>
      <c r="L25" s="170"/>
      <c r="M25" s="29"/>
      <c r="N25" s="29"/>
      <c r="O25" s="29"/>
    </row>
    <row r="26" spans="1:15" ht="30" customHeight="1" x14ac:dyDescent="0.2">
      <c r="A26" s="120" t="str">
        <f t="shared" si="0"/>
        <v/>
      </c>
      <c r="B26" s="30"/>
      <c r="C26" s="120"/>
      <c r="D26" s="120"/>
      <c r="E26" s="120"/>
      <c r="F26" s="120"/>
      <c r="G26" s="120"/>
      <c r="H26" s="174"/>
      <c r="I26" s="140"/>
      <c r="J26" s="140"/>
      <c r="K26" s="120"/>
      <c r="L26" s="170"/>
      <c r="M26" s="29"/>
      <c r="N26" s="29"/>
      <c r="O26" s="29"/>
    </row>
    <row r="27" spans="1:15" ht="30" customHeight="1" x14ac:dyDescent="0.2">
      <c r="A27" s="120" t="str">
        <f t="shared" si="0"/>
        <v/>
      </c>
      <c r="B27" s="30"/>
      <c r="C27" s="120"/>
      <c r="D27" s="120"/>
      <c r="E27" s="120"/>
      <c r="F27" s="120"/>
      <c r="G27" s="120"/>
      <c r="H27" s="174"/>
      <c r="I27" s="140"/>
      <c r="J27" s="140"/>
      <c r="K27" s="120"/>
      <c r="L27" s="170"/>
      <c r="M27" s="6"/>
      <c r="N27" s="6"/>
      <c r="O27" s="6"/>
    </row>
    <row r="28" spans="1:15" ht="30" customHeight="1" x14ac:dyDescent="0.2">
      <c r="A28" s="120" t="str">
        <f t="shared" si="0"/>
        <v/>
      </c>
      <c r="B28" s="30"/>
      <c r="C28" s="120"/>
      <c r="D28" s="120"/>
      <c r="E28" s="120"/>
      <c r="F28" s="120"/>
      <c r="G28" s="120"/>
      <c r="H28" s="174"/>
      <c r="I28" s="140"/>
      <c r="J28" s="140"/>
      <c r="K28" s="120"/>
      <c r="L28" s="170"/>
      <c r="M28" s="6"/>
      <c r="N28" s="6"/>
      <c r="O28" s="6"/>
    </row>
    <row r="29" spans="1:15" ht="30" customHeight="1" x14ac:dyDescent="0.2">
      <c r="A29" s="120" t="str">
        <f t="shared" si="0"/>
        <v/>
      </c>
      <c r="B29" s="30"/>
      <c r="C29" s="120"/>
      <c r="D29" s="120"/>
      <c r="E29" s="120"/>
      <c r="F29" s="120"/>
      <c r="G29" s="120"/>
      <c r="H29" s="174"/>
      <c r="I29" s="140"/>
      <c r="J29" s="140"/>
      <c r="K29" s="120"/>
      <c r="L29" s="170"/>
      <c r="M29" s="6"/>
      <c r="N29" s="6"/>
      <c r="O29" s="6"/>
    </row>
    <row r="30" spans="1:15" ht="30" customHeight="1" x14ac:dyDescent="0.2">
      <c r="A30" s="120" t="str">
        <f t="shared" si="0"/>
        <v/>
      </c>
      <c r="B30" s="30"/>
      <c r="C30" s="120"/>
      <c r="D30" s="120"/>
      <c r="E30" s="120"/>
      <c r="F30" s="120"/>
      <c r="G30" s="120"/>
      <c r="H30" s="174"/>
      <c r="I30" s="140"/>
      <c r="J30" s="140"/>
      <c r="K30" s="120"/>
      <c r="L30" s="170"/>
      <c r="M30" s="6"/>
      <c r="N30" s="6"/>
      <c r="O30" s="6"/>
    </row>
    <row r="31" spans="1:15" ht="30" customHeight="1" x14ac:dyDescent="0.2">
      <c r="A31" s="120" t="str">
        <f t="shared" si="0"/>
        <v/>
      </c>
      <c r="B31" s="30"/>
      <c r="C31" s="120"/>
      <c r="D31" s="120"/>
      <c r="E31" s="120"/>
      <c r="F31" s="120"/>
      <c r="G31" s="120"/>
      <c r="H31" s="174"/>
      <c r="I31" s="140"/>
      <c r="J31" s="140"/>
      <c r="K31" s="120"/>
      <c r="L31" s="170"/>
      <c r="M31" s="6"/>
      <c r="N31" s="6"/>
      <c r="O31" s="6"/>
    </row>
    <row r="32" spans="1:15" ht="30" customHeight="1" x14ac:dyDescent="0.2">
      <c r="A32" s="120" t="str">
        <f t="shared" si="0"/>
        <v/>
      </c>
      <c r="B32" s="30"/>
      <c r="C32" s="120"/>
      <c r="D32" s="120"/>
      <c r="E32" s="120"/>
      <c r="F32" s="120"/>
      <c r="G32" s="120"/>
      <c r="H32" s="174"/>
      <c r="I32" s="140"/>
      <c r="J32" s="140"/>
      <c r="K32" s="120"/>
      <c r="L32" s="120"/>
      <c r="M32" s="6"/>
      <c r="N32" s="6"/>
      <c r="O32" s="6"/>
    </row>
    <row r="33" spans="1:15" ht="30" customHeight="1" x14ac:dyDescent="0.2">
      <c r="A33" s="120" t="str">
        <f t="shared" si="0"/>
        <v/>
      </c>
      <c r="B33" s="30"/>
      <c r="C33" s="120"/>
      <c r="D33" s="120"/>
      <c r="E33" s="120"/>
      <c r="F33" s="120"/>
      <c r="G33" s="120"/>
      <c r="H33" s="174"/>
      <c r="I33" s="140"/>
      <c r="J33" s="140"/>
      <c r="K33" s="120"/>
      <c r="L33" s="120"/>
      <c r="M33" s="6"/>
      <c r="N33" s="6"/>
      <c r="O33" s="6"/>
    </row>
    <row r="34" spans="1:15" ht="30" customHeight="1" x14ac:dyDescent="0.2">
      <c r="A34" s="120" t="str">
        <f t="shared" si="0"/>
        <v/>
      </c>
      <c r="B34" s="30"/>
      <c r="C34" s="120"/>
      <c r="D34" s="120"/>
      <c r="E34" s="120"/>
      <c r="F34" s="120"/>
      <c r="G34" s="120"/>
      <c r="H34" s="174"/>
      <c r="I34" s="140"/>
      <c r="J34" s="140"/>
      <c r="K34" s="120"/>
      <c r="L34" s="170"/>
      <c r="M34" s="6"/>
      <c r="N34" s="6"/>
      <c r="O34" s="6"/>
    </row>
    <row r="35" spans="1:15" ht="30" customHeight="1" x14ac:dyDescent="0.2">
      <c r="A35" s="120" t="str">
        <f t="shared" si="0"/>
        <v/>
      </c>
      <c r="B35" s="30"/>
      <c r="C35" s="120"/>
      <c r="D35" s="120"/>
      <c r="E35" s="120"/>
      <c r="F35" s="120"/>
      <c r="G35" s="120"/>
      <c r="H35" s="174"/>
      <c r="I35" s="140"/>
      <c r="J35" s="140"/>
      <c r="K35" s="120"/>
      <c r="L35" s="170"/>
      <c r="M35" s="6"/>
      <c r="N35" s="6"/>
      <c r="O35" s="6"/>
    </row>
    <row r="36" spans="1:15" ht="30" customHeight="1" x14ac:dyDescent="0.2">
      <c r="A36" s="120" t="str">
        <f t="shared" si="0"/>
        <v/>
      </c>
      <c r="B36" s="30"/>
      <c r="C36" s="120"/>
      <c r="D36" s="120"/>
      <c r="E36" s="120"/>
      <c r="F36" s="120"/>
      <c r="G36" s="120"/>
      <c r="H36" s="174"/>
      <c r="I36" s="140"/>
      <c r="J36" s="140"/>
      <c r="K36" s="120"/>
      <c r="L36" s="120"/>
      <c r="M36" s="6"/>
      <c r="N36" s="6"/>
      <c r="O36" s="6"/>
    </row>
    <row r="37" spans="1:15" ht="30" customHeight="1" x14ac:dyDescent="0.2">
      <c r="A37" s="120" t="str">
        <f t="shared" si="0"/>
        <v/>
      </c>
      <c r="B37" s="30"/>
      <c r="C37" s="120"/>
      <c r="D37" s="120"/>
      <c r="E37" s="120"/>
      <c r="F37" s="120"/>
      <c r="G37" s="120"/>
      <c r="H37" s="174"/>
      <c r="I37" s="140"/>
      <c r="J37" s="140"/>
      <c r="K37" s="120"/>
      <c r="L37" s="120"/>
      <c r="M37" s="6"/>
      <c r="N37" s="6"/>
      <c r="O37" s="6"/>
    </row>
    <row r="38" spans="1:15" ht="30" customHeight="1" x14ac:dyDescent="0.2">
      <c r="A38" s="120" t="str">
        <f t="shared" si="0"/>
        <v/>
      </c>
      <c r="B38" s="30"/>
      <c r="C38" s="120"/>
      <c r="D38" s="120"/>
      <c r="E38" s="120"/>
      <c r="F38" s="120"/>
      <c r="G38" s="120"/>
      <c r="H38" s="174"/>
      <c r="I38" s="140"/>
      <c r="J38" s="140"/>
      <c r="K38" s="120"/>
      <c r="L38" s="120"/>
      <c r="M38" s="6"/>
      <c r="N38" s="6"/>
      <c r="O38" s="6"/>
    </row>
    <row r="39" spans="1:15" ht="30" customHeight="1" x14ac:dyDescent="0.2">
      <c r="A39" s="120" t="str">
        <f t="shared" ref="A39:A45" si="1">IF(B39="","",(TEXT(A38+(SUM(F38)+5)/86400,"hh:mm:ss")))</f>
        <v/>
      </c>
      <c r="B39" s="30"/>
      <c r="C39" s="120"/>
      <c r="D39" s="120"/>
      <c r="E39" s="120"/>
      <c r="F39" s="120"/>
      <c r="G39" s="120"/>
      <c r="H39" s="174"/>
      <c r="I39" s="140"/>
      <c r="J39" s="140"/>
      <c r="K39" s="120"/>
      <c r="L39" s="120"/>
      <c r="M39" s="6"/>
      <c r="N39" s="6"/>
      <c r="O39" s="6"/>
    </row>
    <row r="40" spans="1:15" ht="30" customHeight="1" x14ac:dyDescent="0.2">
      <c r="A40" s="120" t="str">
        <f t="shared" si="1"/>
        <v/>
      </c>
      <c r="B40" s="30"/>
      <c r="C40" s="120"/>
      <c r="D40" s="120"/>
      <c r="E40" s="120"/>
      <c r="F40" s="120"/>
      <c r="G40" s="120"/>
      <c r="H40" s="174"/>
      <c r="I40" s="140"/>
      <c r="J40" s="140"/>
      <c r="K40" s="120"/>
      <c r="L40" s="120"/>
      <c r="M40" s="6"/>
      <c r="N40" s="6"/>
      <c r="O40" s="6"/>
    </row>
    <row r="41" spans="1:15" ht="30" customHeight="1" x14ac:dyDescent="0.2">
      <c r="A41" s="120" t="str">
        <f t="shared" si="1"/>
        <v/>
      </c>
      <c r="B41" s="30"/>
      <c r="C41" s="120"/>
      <c r="D41" s="120"/>
      <c r="E41" s="120"/>
      <c r="F41" s="120"/>
      <c r="G41" s="120"/>
      <c r="H41" s="174"/>
      <c r="I41" s="140"/>
      <c r="J41" s="140"/>
      <c r="K41" s="120"/>
      <c r="L41" s="170"/>
      <c r="M41" s="6"/>
      <c r="N41" s="6"/>
      <c r="O41" s="6"/>
    </row>
    <row r="42" spans="1:15" ht="30" customHeight="1" x14ac:dyDescent="0.2">
      <c r="A42" s="120" t="str">
        <f t="shared" si="1"/>
        <v/>
      </c>
      <c r="B42" s="30"/>
      <c r="C42" s="120"/>
      <c r="D42" s="120"/>
      <c r="E42" s="120"/>
      <c r="F42" s="120"/>
      <c r="G42" s="120"/>
      <c r="H42" s="174"/>
      <c r="I42" s="140"/>
      <c r="J42" s="140"/>
      <c r="K42" s="120"/>
      <c r="L42" s="170"/>
      <c r="M42" s="6"/>
      <c r="N42" s="6"/>
      <c r="O42" s="6"/>
    </row>
    <row r="43" spans="1:15" ht="30" customHeight="1" x14ac:dyDescent="0.2">
      <c r="A43" s="120" t="str">
        <f t="shared" si="1"/>
        <v/>
      </c>
      <c r="B43" s="30"/>
      <c r="C43" s="120"/>
      <c r="D43" s="120"/>
      <c r="E43" s="120"/>
      <c r="F43" s="120"/>
      <c r="G43" s="120"/>
      <c r="H43" s="174"/>
      <c r="I43" s="140"/>
      <c r="J43" s="140"/>
      <c r="K43" s="120"/>
      <c r="L43" s="120"/>
      <c r="M43" s="6"/>
      <c r="N43" s="6"/>
      <c r="O43" s="6"/>
    </row>
    <row r="44" spans="1:15" ht="30" customHeight="1" x14ac:dyDescent="0.2">
      <c r="A44" s="120" t="str">
        <f t="shared" si="1"/>
        <v/>
      </c>
      <c r="B44" s="30"/>
      <c r="C44" s="120"/>
      <c r="D44" s="120"/>
      <c r="E44" s="120"/>
      <c r="F44" s="120"/>
      <c r="G44" s="120"/>
      <c r="H44" s="174"/>
      <c r="I44" s="140"/>
      <c r="J44" s="140"/>
      <c r="K44" s="120"/>
      <c r="L44" s="120"/>
      <c r="M44" s="6"/>
      <c r="N44" s="6"/>
      <c r="O44" s="6"/>
    </row>
    <row r="45" spans="1:15" ht="30" customHeight="1" x14ac:dyDescent="0.2">
      <c r="A45" s="120" t="str">
        <f t="shared" si="1"/>
        <v/>
      </c>
      <c r="B45" s="30"/>
      <c r="C45" s="120"/>
      <c r="D45" s="120"/>
      <c r="E45" s="120"/>
      <c r="F45" s="120"/>
      <c r="G45" s="120"/>
      <c r="H45" s="174"/>
      <c r="I45" s="140"/>
      <c r="J45" s="140"/>
      <c r="K45" s="120"/>
      <c r="L45" s="120"/>
      <c r="M45" s="6"/>
      <c r="N45" s="6"/>
      <c r="O45" s="6"/>
    </row>
  </sheetData>
  <mergeCells count="25">
    <mergeCell ref="G15:L15"/>
    <mergeCell ref="G16:L16"/>
    <mergeCell ref="D18:E18"/>
    <mergeCell ref="A11:F11"/>
    <mergeCell ref="G11:L11"/>
    <mergeCell ref="A12:F12"/>
    <mergeCell ref="G12:L12"/>
    <mergeCell ref="A13:F13"/>
    <mergeCell ref="G13:L13"/>
    <mergeCell ref="A14:F14"/>
    <mergeCell ref="A9:F9"/>
    <mergeCell ref="G9:L9"/>
    <mergeCell ref="A10:F10"/>
    <mergeCell ref="G10:L10"/>
    <mergeCell ref="G14:L14"/>
    <mergeCell ref="A5:D5"/>
    <mergeCell ref="A7:F7"/>
    <mergeCell ref="G7:L7"/>
    <mergeCell ref="G8:L8"/>
    <mergeCell ref="A6:C6"/>
    <mergeCell ref="A1:L1"/>
    <mergeCell ref="A2:D2"/>
    <mergeCell ref="A3:E3"/>
    <mergeCell ref="K3:L4"/>
    <mergeCell ref="A4:C4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C000"/>
    <pageSetUpPr fitToPage="1"/>
  </sheetPr>
  <dimension ref="A1:P45"/>
  <sheetViews>
    <sheetView showZeros="0" topLeftCell="A2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style="91" customWidth="1"/>
    <col min="3" max="3" width="36.83203125" style="91" customWidth="1"/>
    <col min="4" max="5" width="25.83203125" style="91" customWidth="1"/>
    <col min="6" max="6" width="6.83203125" style="91" customWidth="1"/>
    <col min="7" max="8" width="10.83203125" style="91" customWidth="1"/>
    <col min="9" max="10" width="22.83203125" style="91" customWidth="1"/>
    <col min="11" max="11" width="12.83203125" style="91" customWidth="1"/>
    <col min="12" max="12" width="14.83203125" style="91" customWidth="1"/>
    <col min="13" max="16" width="9.1640625" hidden="1" customWidth="1"/>
    <col min="17" max="26" width="9.1640625" customWidth="1"/>
  </cols>
  <sheetData>
    <row r="1" spans="1:12" ht="20" customHeight="1" x14ac:dyDescent="0.25">
      <c r="A1" s="288" t="s">
        <v>156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</row>
    <row r="2" spans="1:12" ht="17" x14ac:dyDescent="0.2">
      <c r="A2" s="290" t="s">
        <v>164</v>
      </c>
      <c r="B2" s="289"/>
      <c r="C2" s="289"/>
      <c r="D2" s="289"/>
      <c r="E2" s="125"/>
      <c r="F2" s="125"/>
      <c r="G2" s="125"/>
      <c r="H2" s="125"/>
      <c r="I2" s="179"/>
      <c r="J2" s="179"/>
      <c r="K2" s="125"/>
      <c r="L2" s="125"/>
    </row>
    <row r="3" spans="1:12" ht="50.25" customHeight="1" x14ac:dyDescent="0.6">
      <c r="A3" s="291" t="s">
        <v>256</v>
      </c>
      <c r="B3" s="289"/>
      <c r="C3" s="289"/>
      <c r="D3" s="289"/>
      <c r="E3" s="289"/>
      <c r="F3" s="125"/>
      <c r="G3" s="125"/>
      <c r="H3" s="125"/>
      <c r="I3" s="179"/>
      <c r="J3" s="180"/>
      <c r="K3" s="268" t="s">
        <v>158</v>
      </c>
      <c r="L3" s="265"/>
    </row>
    <row r="4" spans="1:12" ht="20" x14ac:dyDescent="0.25">
      <c r="A4" s="292" t="s">
        <v>159</v>
      </c>
      <c r="B4" s="289"/>
      <c r="C4" s="289"/>
      <c r="D4" s="121"/>
      <c r="E4" s="126"/>
      <c r="F4" s="128"/>
      <c r="G4" s="128"/>
      <c r="H4" s="128"/>
      <c r="I4" s="126"/>
      <c r="J4" s="149"/>
      <c r="K4" s="265"/>
      <c r="L4" s="265"/>
    </row>
    <row r="5" spans="1:12" ht="28.5" customHeight="1" x14ac:dyDescent="0.45">
      <c r="A5" s="293"/>
      <c r="B5" s="289"/>
      <c r="C5" s="289"/>
      <c r="D5" s="289"/>
      <c r="E5" s="121"/>
      <c r="F5" s="126"/>
      <c r="G5" s="128"/>
      <c r="H5" s="128"/>
      <c r="I5" s="128"/>
      <c r="J5" s="126"/>
      <c r="K5" s="149"/>
      <c r="L5" s="145"/>
    </row>
    <row r="6" spans="1:12" ht="29.25" customHeight="1" thickBot="1" x14ac:dyDescent="0.25">
      <c r="A6" s="302"/>
      <c r="B6" s="302"/>
      <c r="C6" s="302"/>
      <c r="D6" s="122"/>
      <c r="E6" s="127"/>
      <c r="F6" s="125"/>
      <c r="G6" s="125"/>
      <c r="H6" s="125"/>
      <c r="I6" s="127"/>
      <c r="J6" s="146"/>
      <c r="K6" s="150"/>
      <c r="L6" s="146"/>
    </row>
    <row r="7" spans="1:12" ht="18" customHeight="1" x14ac:dyDescent="0.2">
      <c r="A7" s="294"/>
      <c r="B7" s="295"/>
      <c r="C7" s="295"/>
      <c r="D7" s="295"/>
      <c r="E7" s="295"/>
      <c r="F7" s="296"/>
      <c r="G7" s="297"/>
      <c r="H7" s="295"/>
      <c r="I7" s="295"/>
      <c r="J7" s="295"/>
      <c r="K7" s="295"/>
      <c r="L7" s="296"/>
    </row>
    <row r="8" spans="1:12" ht="18" customHeight="1" x14ac:dyDescent="0.2">
      <c r="A8" s="298"/>
      <c r="B8" s="299"/>
      <c r="C8" s="299"/>
      <c r="D8" s="299"/>
      <c r="E8" s="299"/>
      <c r="F8" s="300"/>
      <c r="G8" s="301"/>
      <c r="H8" s="299"/>
      <c r="I8" s="299"/>
      <c r="J8" s="299"/>
      <c r="K8" s="299"/>
      <c r="L8" s="300"/>
    </row>
    <row r="9" spans="1:12" ht="18" customHeight="1" x14ac:dyDescent="0.2">
      <c r="A9" s="298"/>
      <c r="B9" s="299"/>
      <c r="C9" s="299"/>
      <c r="D9" s="299"/>
      <c r="E9" s="299"/>
      <c r="F9" s="300"/>
      <c r="G9" s="301"/>
      <c r="H9" s="299"/>
      <c r="I9" s="299"/>
      <c r="J9" s="299"/>
      <c r="K9" s="299"/>
      <c r="L9" s="300"/>
    </row>
    <row r="10" spans="1:12" ht="18" customHeight="1" x14ac:dyDescent="0.2">
      <c r="A10" s="177"/>
      <c r="B10" s="116"/>
      <c r="C10" s="116"/>
      <c r="D10" s="116"/>
      <c r="E10" s="116"/>
      <c r="F10" s="147"/>
      <c r="G10" s="301"/>
      <c r="H10" s="299"/>
      <c r="I10" s="299"/>
      <c r="J10" s="299"/>
      <c r="K10" s="299"/>
      <c r="L10" s="300"/>
    </row>
    <row r="11" spans="1:12" ht="18" customHeight="1" x14ac:dyDescent="0.2">
      <c r="A11" s="178"/>
      <c r="B11" s="117"/>
      <c r="C11" s="117"/>
      <c r="D11" s="117"/>
      <c r="E11" s="117"/>
      <c r="F11" s="148"/>
      <c r="G11" s="303"/>
      <c r="H11" s="304"/>
      <c r="I11" s="304"/>
      <c r="J11" s="304"/>
      <c r="K11" s="304"/>
      <c r="L11" s="305"/>
    </row>
    <row r="12" spans="1:12" ht="18" customHeight="1" x14ac:dyDescent="0.2">
      <c r="A12" s="294" t="s">
        <v>159</v>
      </c>
      <c r="B12" s="295"/>
      <c r="C12" s="295"/>
      <c r="D12" s="295"/>
      <c r="E12" s="295"/>
      <c r="F12" s="296"/>
      <c r="G12" s="297"/>
      <c r="H12" s="295"/>
      <c r="I12" s="295"/>
      <c r="J12" s="295"/>
      <c r="K12" s="295"/>
      <c r="L12" s="296"/>
    </row>
    <row r="13" spans="1:12" ht="18" customHeight="1" x14ac:dyDescent="0.2">
      <c r="A13" s="298" t="s">
        <v>160</v>
      </c>
      <c r="B13" s="299"/>
      <c r="C13" s="299"/>
      <c r="D13" s="299"/>
      <c r="E13" s="299"/>
      <c r="F13" s="300"/>
      <c r="G13" s="301"/>
      <c r="H13" s="299"/>
      <c r="I13" s="299"/>
      <c r="J13" s="299"/>
      <c r="K13" s="299"/>
      <c r="L13" s="300"/>
    </row>
    <row r="14" spans="1:12" ht="18" customHeight="1" x14ac:dyDescent="0.2">
      <c r="A14" s="298" t="s">
        <v>161</v>
      </c>
      <c r="B14" s="299"/>
      <c r="C14" s="299"/>
      <c r="D14" s="299"/>
      <c r="E14" s="299"/>
      <c r="F14" s="300"/>
      <c r="G14" s="301"/>
      <c r="H14" s="299"/>
      <c r="I14" s="299"/>
      <c r="J14" s="299"/>
      <c r="K14" s="299"/>
      <c r="L14" s="300"/>
    </row>
    <row r="15" spans="1:12" ht="18" customHeight="1" x14ac:dyDescent="0.2">
      <c r="A15" s="177"/>
      <c r="B15" s="116"/>
      <c r="C15" s="116"/>
      <c r="D15" s="116"/>
      <c r="E15" s="116"/>
      <c r="F15" s="147"/>
      <c r="G15" s="301"/>
      <c r="H15" s="299"/>
      <c r="I15" s="299"/>
      <c r="J15" s="299"/>
      <c r="K15" s="299"/>
      <c r="L15" s="300"/>
    </row>
    <row r="16" spans="1:12" ht="18" customHeight="1" x14ac:dyDescent="0.2">
      <c r="A16" s="178"/>
      <c r="B16" s="117"/>
      <c r="C16" s="117"/>
      <c r="D16" s="117"/>
      <c r="E16" s="117"/>
      <c r="F16" s="148"/>
      <c r="G16" s="303"/>
      <c r="H16" s="304"/>
      <c r="I16" s="304"/>
      <c r="J16" s="304"/>
      <c r="K16" s="304"/>
      <c r="L16" s="305"/>
    </row>
    <row r="18" spans="1:15" ht="32" x14ac:dyDescent="0.2">
      <c r="A18" s="118" t="s">
        <v>162</v>
      </c>
      <c r="B18" s="118" t="s">
        <v>105</v>
      </c>
      <c r="C18" s="118" t="s">
        <v>106</v>
      </c>
      <c r="D18" s="306" t="s">
        <v>107</v>
      </c>
      <c r="E18" s="307"/>
      <c r="F18" s="118" t="s">
        <v>108</v>
      </c>
      <c r="G18" s="118" t="s">
        <v>109</v>
      </c>
      <c r="H18" s="118" t="s">
        <v>110</v>
      </c>
      <c r="I18" s="154" t="s">
        <v>111</v>
      </c>
      <c r="J18" s="154" t="s">
        <v>112</v>
      </c>
      <c r="K18" s="118" t="s">
        <v>113</v>
      </c>
      <c r="L18" s="118" t="s">
        <v>114</v>
      </c>
      <c r="M18" s="24"/>
      <c r="N18" s="24"/>
      <c r="O18" s="24"/>
    </row>
    <row r="19" spans="1:15" ht="30" customHeight="1" x14ac:dyDescent="0.2">
      <c r="A19" s="28" t="str">
        <f>IF(B19="","","01:00:00")</f>
        <v/>
      </c>
      <c r="B19" s="26" t="str" cm="1">
        <f t="array" ref="B19">IFERROR(_xlfn._xlws.FILTER('TITLE LIST'!A:N,('TITLE LIST'!N:N="ACANTO FMALLN")+('TITLE LIST'!N:N="ASOT ONLYALLN")+('TITLE LIST'!N:N="ACANTO FM02AN")+('TITLE LIST'!N:N="ASOT ONLY02AN")),"")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8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8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2">
      <c r="A22" s="28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8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8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8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8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8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8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8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8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8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8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8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8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8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8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8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8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8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8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8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8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8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8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8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4">
    <mergeCell ref="D18:E18"/>
    <mergeCell ref="G11:L11"/>
    <mergeCell ref="A12:F12"/>
    <mergeCell ref="G12:L12"/>
    <mergeCell ref="A13:F13"/>
    <mergeCell ref="G13:L13"/>
    <mergeCell ref="A14:F14"/>
    <mergeCell ref="G14:L14"/>
    <mergeCell ref="A9:F9"/>
    <mergeCell ref="G9:L9"/>
    <mergeCell ref="G10:L10"/>
    <mergeCell ref="G15:L15"/>
    <mergeCell ref="G16:L16"/>
    <mergeCell ref="A5:D5"/>
    <mergeCell ref="A7:F7"/>
    <mergeCell ref="G7:L7"/>
    <mergeCell ref="A8:F8"/>
    <mergeCell ref="G8:L8"/>
    <mergeCell ref="A6:C6"/>
    <mergeCell ref="A1:L1"/>
    <mergeCell ref="A2:D2"/>
    <mergeCell ref="A3:E3"/>
    <mergeCell ref="K3:L4"/>
    <mergeCell ref="A4:C4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  <pageSetUpPr fitToPage="1"/>
  </sheetPr>
  <dimension ref="A1:P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308" t="s">
        <v>165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257</v>
      </c>
      <c r="B3" s="249"/>
      <c r="C3" s="249"/>
      <c r="D3" s="249"/>
      <c r="E3" s="249"/>
      <c r="F3" s="7"/>
      <c r="G3" s="7"/>
      <c r="H3" s="7"/>
      <c r="I3" s="8"/>
      <c r="J3" s="10"/>
      <c r="K3" s="252"/>
      <c r="L3" s="249"/>
    </row>
    <row r="4" spans="1:12" ht="20" x14ac:dyDescent="0.25">
      <c r="A4" s="309" t="s">
        <v>128</v>
      </c>
      <c r="B4" s="249"/>
      <c r="C4" s="249"/>
      <c r="D4" s="11"/>
      <c r="E4" s="12"/>
      <c r="F4" s="13"/>
      <c r="G4" s="13"/>
      <c r="H4" s="13"/>
      <c r="I4" s="12"/>
      <c r="J4" s="14"/>
      <c r="K4" s="249"/>
      <c r="L4" s="249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39"/>
      <c r="B7" s="240"/>
      <c r="C7" s="240"/>
      <c r="D7" s="240"/>
      <c r="E7" s="240"/>
      <c r="F7" s="241"/>
      <c r="G7" s="32"/>
      <c r="H7" s="33"/>
      <c r="I7" s="33"/>
      <c r="J7" s="33"/>
      <c r="K7" s="33"/>
      <c r="L7" s="34"/>
    </row>
    <row r="8" spans="1:12" ht="18" customHeight="1" x14ac:dyDescent="0.2">
      <c r="A8" s="260"/>
      <c r="B8" s="244"/>
      <c r="C8" s="244"/>
      <c r="D8" s="244"/>
      <c r="E8" s="244"/>
      <c r="F8" s="245"/>
      <c r="G8" s="76"/>
      <c r="H8" s="77"/>
      <c r="I8" s="77"/>
      <c r="J8" s="77"/>
      <c r="K8" s="77"/>
      <c r="L8" s="78"/>
    </row>
    <row r="9" spans="1:12" ht="18" customHeight="1" x14ac:dyDescent="0.2">
      <c r="A9" s="260"/>
      <c r="B9" s="244"/>
      <c r="C9" s="244"/>
      <c r="D9" s="244"/>
      <c r="E9" s="244"/>
      <c r="F9" s="245"/>
      <c r="G9" s="76"/>
      <c r="H9" s="77"/>
      <c r="I9" s="77"/>
      <c r="J9" s="77"/>
      <c r="K9" s="77"/>
      <c r="L9" s="78"/>
    </row>
    <row r="10" spans="1:12" ht="18" customHeight="1" x14ac:dyDescent="0.2">
      <c r="A10" s="311"/>
      <c r="B10" s="244"/>
      <c r="C10" s="244"/>
      <c r="D10" s="244"/>
      <c r="E10" s="244"/>
      <c r="F10" s="245"/>
      <c r="G10" s="76"/>
      <c r="H10" s="77"/>
      <c r="I10" s="77"/>
      <c r="J10" s="77"/>
      <c r="K10" s="77"/>
      <c r="L10" s="78"/>
    </row>
    <row r="11" spans="1:12" ht="18" customHeight="1" x14ac:dyDescent="0.2">
      <c r="A11" s="312"/>
      <c r="B11" s="256"/>
      <c r="C11" s="256"/>
      <c r="D11" s="256"/>
      <c r="E11" s="256"/>
      <c r="F11" s="257"/>
      <c r="G11" s="20"/>
      <c r="H11" s="21"/>
      <c r="I11" s="21"/>
      <c r="J11" s="21"/>
      <c r="K11" s="21"/>
      <c r="L11" s="22"/>
    </row>
    <row r="12" spans="1:12" ht="18" customHeight="1" x14ac:dyDescent="0.2">
      <c r="A12" s="32"/>
      <c r="B12" s="33"/>
      <c r="C12" s="33"/>
      <c r="D12" s="33"/>
      <c r="E12" s="33"/>
      <c r="F12" s="34"/>
      <c r="G12" s="239" t="s">
        <v>128</v>
      </c>
      <c r="H12" s="240"/>
      <c r="I12" s="240"/>
      <c r="J12" s="240"/>
      <c r="K12" s="240"/>
      <c r="L12" s="241"/>
    </row>
    <row r="13" spans="1:12" ht="18" customHeight="1" x14ac:dyDescent="0.2">
      <c r="A13" s="76"/>
      <c r="B13" s="77"/>
      <c r="C13" s="77"/>
      <c r="D13" s="77"/>
      <c r="E13" s="77"/>
      <c r="F13" s="78"/>
      <c r="G13" s="260" t="s">
        <v>166</v>
      </c>
      <c r="H13" s="244"/>
      <c r="I13" s="244"/>
      <c r="J13" s="244"/>
      <c r="K13" s="244"/>
      <c r="L13" s="245"/>
    </row>
    <row r="14" spans="1:12" ht="18" customHeight="1" x14ac:dyDescent="0.2">
      <c r="A14" s="76"/>
      <c r="B14" s="77"/>
      <c r="C14" s="77"/>
      <c r="D14" s="77"/>
      <c r="E14" s="77"/>
      <c r="F14" s="78"/>
      <c r="G14" s="260" t="s">
        <v>167</v>
      </c>
      <c r="H14" s="244"/>
      <c r="I14" s="244"/>
      <c r="J14" s="244"/>
      <c r="K14" s="244"/>
      <c r="L14" s="245"/>
    </row>
    <row r="15" spans="1:12" ht="18" customHeight="1" x14ac:dyDescent="0.2">
      <c r="A15" s="76"/>
      <c r="B15" s="77"/>
      <c r="C15" s="77"/>
      <c r="D15" s="77"/>
      <c r="E15" s="77"/>
      <c r="F15" s="78"/>
      <c r="G15" s="311"/>
      <c r="H15" s="244"/>
      <c r="I15" s="244"/>
      <c r="J15" s="244"/>
      <c r="K15" s="244"/>
      <c r="L15" s="245"/>
    </row>
    <row r="16" spans="1:12" ht="18" customHeight="1" x14ac:dyDescent="0.2">
      <c r="A16" s="20"/>
      <c r="B16" s="21"/>
      <c r="C16" s="21"/>
      <c r="D16" s="21"/>
      <c r="E16" s="21"/>
      <c r="F16" s="22"/>
      <c r="G16" s="312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LIST'!N:N="GTHAI FMALLN")+('TITLE LIST'!N:N="GSOT ONLYALLN")+('TITLE LIST'!N:N="GTHAI FM03AN")+('TITLE LIST'!N:N="GSOT ONLY03AN")+('TITLE LIST'!N:N="GTHAI FMALLY")+('TITLE LIST'!N:N="GSOT ONLYALLY")+('TITLE LIST'!N:N="GTHAI FM03AY")+('TITLE LIST'!N:N="GSOT ONLY03AY")),"")</f>
        <v/>
      </c>
      <c r="C19" s="119"/>
      <c r="D19" s="184"/>
      <c r="E19" s="184"/>
      <c r="F19" s="123"/>
      <c r="G19" s="123"/>
      <c r="H19" s="185"/>
      <c r="I19" s="139"/>
      <c r="J19" s="139"/>
      <c r="K19" s="120"/>
      <c r="L19" s="31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8"/>
      <c r="C20" s="120"/>
      <c r="D20" s="170"/>
      <c r="E20" s="170"/>
      <c r="F20" s="31"/>
      <c r="G20" s="31"/>
      <c r="H20" s="133"/>
      <c r="I20" s="140"/>
      <c r="J20" s="140"/>
      <c r="K20" s="120"/>
      <c r="L20" s="31"/>
      <c r="M20" s="29"/>
      <c r="N20" s="29"/>
      <c r="O20" s="29"/>
    </row>
    <row r="21" spans="1:15" ht="30" customHeight="1" x14ac:dyDescent="0.2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18">
    <mergeCell ref="D18:E18"/>
    <mergeCell ref="A7:F7"/>
    <mergeCell ref="A8:F8"/>
    <mergeCell ref="A9:F9"/>
    <mergeCell ref="A10:F10"/>
    <mergeCell ref="A11:F11"/>
    <mergeCell ref="A5:D5"/>
    <mergeCell ref="G14:L14"/>
    <mergeCell ref="G15:L15"/>
    <mergeCell ref="G16:L16"/>
    <mergeCell ref="G12:L12"/>
    <mergeCell ref="G13:L13"/>
    <mergeCell ref="A6:C6"/>
    <mergeCell ref="A1:L1"/>
    <mergeCell ref="A2:D2"/>
    <mergeCell ref="A3:E3"/>
    <mergeCell ref="K3:L4"/>
    <mergeCell ref="A4:C4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  <pageSetUpPr fitToPage="1"/>
  </sheetPr>
  <dimension ref="A1:P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164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258</v>
      </c>
      <c r="B3" s="249"/>
      <c r="C3" s="249"/>
      <c r="D3" s="249"/>
      <c r="E3" s="249"/>
      <c r="F3" s="7"/>
      <c r="G3" s="7"/>
      <c r="H3" s="7"/>
      <c r="I3" s="8"/>
      <c r="J3" s="10"/>
      <c r="K3" s="252" t="s">
        <v>158</v>
      </c>
      <c r="L3" s="249"/>
    </row>
    <row r="4" spans="1:12" ht="20" x14ac:dyDescent="0.25">
      <c r="A4" s="253" t="s">
        <v>159</v>
      </c>
      <c r="B4" s="249"/>
      <c r="C4" s="249"/>
      <c r="D4" s="11"/>
      <c r="E4" s="12"/>
      <c r="F4" s="13"/>
      <c r="G4" s="13"/>
      <c r="H4" s="13"/>
      <c r="I4" s="12"/>
      <c r="J4" s="14"/>
      <c r="K4" s="249"/>
      <c r="L4" s="249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61"/>
      <c r="B7" s="240"/>
      <c r="C7" s="240"/>
      <c r="D7" s="240"/>
      <c r="E7" s="240"/>
      <c r="F7" s="241"/>
      <c r="G7" s="318"/>
      <c r="H7" s="240"/>
      <c r="I7" s="240"/>
      <c r="J7" s="240"/>
      <c r="K7" s="240"/>
      <c r="L7" s="241"/>
    </row>
    <row r="8" spans="1:12" ht="18" customHeight="1" x14ac:dyDescent="0.2">
      <c r="A8" s="262"/>
      <c r="B8" s="244"/>
      <c r="C8" s="244"/>
      <c r="D8" s="244"/>
      <c r="E8" s="244"/>
      <c r="F8" s="245"/>
      <c r="G8" s="319"/>
      <c r="H8" s="244"/>
      <c r="I8" s="244"/>
      <c r="J8" s="244"/>
      <c r="K8" s="244"/>
      <c r="L8" s="245"/>
    </row>
    <row r="9" spans="1:12" ht="18" customHeight="1" x14ac:dyDescent="0.2">
      <c r="A9" s="320"/>
      <c r="B9" s="244"/>
      <c r="C9" s="244"/>
      <c r="D9" s="244"/>
      <c r="E9" s="244"/>
      <c r="F9" s="245"/>
      <c r="G9" s="319"/>
      <c r="H9" s="244"/>
      <c r="I9" s="244"/>
      <c r="J9" s="244"/>
      <c r="K9" s="244"/>
      <c r="L9" s="245"/>
    </row>
    <row r="10" spans="1:12" ht="18" customHeight="1" x14ac:dyDescent="0.2">
      <c r="A10" s="311"/>
      <c r="B10" s="244"/>
      <c r="C10" s="244"/>
      <c r="D10" s="244"/>
      <c r="E10" s="244"/>
      <c r="F10" s="245"/>
      <c r="G10" s="76"/>
      <c r="H10" s="77"/>
      <c r="I10" s="77"/>
      <c r="J10" s="77"/>
      <c r="K10" s="77"/>
      <c r="L10" s="78"/>
    </row>
    <row r="11" spans="1:12" ht="18" customHeight="1" x14ac:dyDescent="0.2">
      <c r="A11" s="312"/>
      <c r="B11" s="256"/>
      <c r="C11" s="256"/>
      <c r="D11" s="256"/>
      <c r="E11" s="256"/>
      <c r="F11" s="257"/>
      <c r="G11" s="20"/>
      <c r="H11" s="21"/>
      <c r="I11" s="21"/>
      <c r="J11" s="21"/>
      <c r="K11" s="21"/>
      <c r="L11" s="22"/>
    </row>
    <row r="12" spans="1:12" ht="18" customHeight="1" x14ac:dyDescent="0.2">
      <c r="A12" s="261" t="s">
        <v>159</v>
      </c>
      <c r="B12" s="240"/>
      <c r="C12" s="240"/>
      <c r="D12" s="240"/>
      <c r="E12" s="240"/>
      <c r="F12" s="241"/>
      <c r="G12" s="32"/>
      <c r="H12" s="33"/>
      <c r="I12" s="33"/>
      <c r="J12" s="33"/>
      <c r="K12" s="33"/>
      <c r="L12" s="34"/>
    </row>
    <row r="13" spans="1:12" ht="18" customHeight="1" x14ac:dyDescent="0.2">
      <c r="A13" s="262" t="s">
        <v>168</v>
      </c>
      <c r="B13" s="316"/>
      <c r="C13" s="316"/>
      <c r="D13" s="316"/>
      <c r="E13" s="316"/>
      <c r="F13" s="317"/>
      <c r="G13" s="76"/>
      <c r="H13" s="77"/>
      <c r="I13" s="77"/>
      <c r="J13" s="77"/>
      <c r="K13" s="77"/>
      <c r="L13" s="78"/>
    </row>
    <row r="14" spans="1:12" ht="18" customHeight="1" x14ac:dyDescent="0.2">
      <c r="A14" s="262" t="s">
        <v>161</v>
      </c>
      <c r="B14" s="316"/>
      <c r="C14" s="316"/>
      <c r="D14" s="316"/>
      <c r="E14" s="316"/>
      <c r="F14" s="317"/>
      <c r="G14" s="76"/>
      <c r="H14" s="77"/>
      <c r="I14" s="77"/>
      <c r="J14" s="77"/>
      <c r="K14" s="77"/>
      <c r="L14" s="78"/>
    </row>
    <row r="15" spans="1:12" ht="18" customHeight="1" x14ac:dyDescent="0.2">
      <c r="A15" s="311"/>
      <c r="B15" s="244"/>
      <c r="C15" s="244"/>
      <c r="D15" s="244"/>
      <c r="E15" s="244"/>
      <c r="F15" s="245"/>
      <c r="G15" s="76"/>
      <c r="H15" s="77"/>
      <c r="I15" s="77"/>
      <c r="J15" s="77"/>
      <c r="K15" s="77"/>
      <c r="L15" s="78"/>
    </row>
    <row r="16" spans="1:12" ht="18" customHeight="1" x14ac:dyDescent="0.2">
      <c r="A16" s="312"/>
      <c r="B16" s="256"/>
      <c r="C16" s="256"/>
      <c r="D16" s="256"/>
      <c r="E16" s="256"/>
      <c r="F16" s="257"/>
      <c r="G16" s="20"/>
      <c r="H16" s="21"/>
      <c r="I16" s="21"/>
      <c r="J16" s="21"/>
      <c r="K16" s="21"/>
      <c r="L16" s="22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LIST'!N:N="ATHAI FMALLN")+('TITLE LIST'!N:N="ASOT ONLYALLN")+('TITLE LIST'!N:N="ATHAI FM03CN")+('TITLE LIST'!N:N="ASOT ONLY03CN")),"")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1">
    <mergeCell ref="G7:L7"/>
    <mergeCell ref="A8:F8"/>
    <mergeCell ref="G8:L8"/>
    <mergeCell ref="A9:F9"/>
    <mergeCell ref="G9:L9"/>
    <mergeCell ref="A14:F14"/>
    <mergeCell ref="A15:F15"/>
    <mergeCell ref="A16:F16"/>
    <mergeCell ref="D18:E18"/>
    <mergeCell ref="A7:F7"/>
    <mergeCell ref="A10:F10"/>
    <mergeCell ref="A5:D5"/>
    <mergeCell ref="A11:F11"/>
    <mergeCell ref="A12:F12"/>
    <mergeCell ref="A13:F13"/>
    <mergeCell ref="A6:C6"/>
    <mergeCell ref="A1:L1"/>
    <mergeCell ref="A2:D2"/>
    <mergeCell ref="A3:E3"/>
    <mergeCell ref="K3:L4"/>
    <mergeCell ref="A4:C4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66CC"/>
    <pageSetUpPr fitToPage="1"/>
  </sheetPr>
  <dimension ref="A1:P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169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64" x14ac:dyDescent="0.7">
      <c r="A3" s="321" t="s">
        <v>259</v>
      </c>
      <c r="B3" s="249"/>
      <c r="C3" s="249"/>
      <c r="D3" s="249"/>
      <c r="E3" s="249"/>
      <c r="F3" s="7"/>
      <c r="G3" s="7"/>
      <c r="H3" s="7"/>
      <c r="I3" s="8"/>
      <c r="J3" s="10"/>
      <c r="K3" s="14"/>
      <c r="L3" s="16"/>
    </row>
    <row r="4" spans="1:12" ht="20" x14ac:dyDescent="0.25">
      <c r="A4" s="322" t="s">
        <v>131</v>
      </c>
      <c r="B4" s="249"/>
      <c r="C4" s="249"/>
      <c r="D4" s="11"/>
      <c r="E4" s="12"/>
      <c r="F4" s="13"/>
      <c r="G4" s="13"/>
      <c r="H4" s="13"/>
      <c r="I4" s="12"/>
      <c r="J4" s="14"/>
      <c r="K4" s="19"/>
      <c r="L4" s="18"/>
    </row>
    <row r="5" spans="1:12" ht="28.5" customHeight="1" x14ac:dyDescent="0.45">
      <c r="A5" s="310" t="s">
        <v>170</v>
      </c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23" t="s">
        <v>131</v>
      </c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26" t="s">
        <v>171</v>
      </c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26" t="s">
        <v>172</v>
      </c>
      <c r="H9" s="244"/>
      <c r="I9" s="244"/>
      <c r="J9" s="244"/>
      <c r="K9" s="244"/>
      <c r="L9" s="245"/>
    </row>
    <row r="10" spans="1:12" ht="18" customHeight="1" x14ac:dyDescent="0.2">
      <c r="A10" s="311"/>
      <c r="B10" s="244"/>
      <c r="C10" s="244"/>
      <c r="D10" s="244"/>
      <c r="E10" s="244"/>
      <c r="F10" s="245"/>
      <c r="G10" s="327" t="s">
        <v>173</v>
      </c>
      <c r="H10" s="244"/>
      <c r="I10" s="244"/>
      <c r="J10" s="244"/>
      <c r="K10" s="244"/>
      <c r="L10" s="245"/>
    </row>
    <row r="11" spans="1:12" ht="18" customHeight="1" x14ac:dyDescent="0.2">
      <c r="A11" s="329"/>
      <c r="B11" s="244"/>
      <c r="C11" s="244"/>
      <c r="D11" s="244"/>
      <c r="E11" s="244"/>
      <c r="F11" s="245"/>
      <c r="G11" s="255"/>
      <c r="H11" s="256"/>
      <c r="I11" s="256"/>
      <c r="J11" s="256"/>
      <c r="K11" s="256"/>
      <c r="L11" s="257"/>
    </row>
    <row r="12" spans="1:12" ht="18" customHeight="1" x14ac:dyDescent="0.2">
      <c r="A12" s="261"/>
      <c r="B12" s="240"/>
      <c r="C12" s="240"/>
      <c r="D12" s="240"/>
      <c r="E12" s="240"/>
      <c r="F12" s="241"/>
      <c r="G12" s="328"/>
      <c r="H12" s="240"/>
      <c r="I12" s="240"/>
      <c r="J12" s="240"/>
      <c r="K12" s="240"/>
      <c r="L12" s="241"/>
    </row>
    <row r="13" spans="1:12" ht="18" customHeight="1" x14ac:dyDescent="0.2">
      <c r="A13" s="262"/>
      <c r="B13" s="244"/>
      <c r="C13" s="244"/>
      <c r="D13" s="244"/>
      <c r="E13" s="244"/>
      <c r="F13" s="245"/>
      <c r="G13" s="325"/>
      <c r="H13" s="244"/>
      <c r="I13" s="244"/>
      <c r="J13" s="244"/>
      <c r="K13" s="244"/>
      <c r="L13" s="245"/>
    </row>
    <row r="14" spans="1:12" ht="18" customHeight="1" x14ac:dyDescent="0.2">
      <c r="A14" s="262"/>
      <c r="B14" s="244"/>
      <c r="C14" s="244"/>
      <c r="D14" s="244"/>
      <c r="E14" s="244"/>
      <c r="F14" s="245"/>
      <c r="G14" s="325"/>
      <c r="H14" s="244"/>
      <c r="I14" s="244"/>
      <c r="J14" s="244"/>
      <c r="K14" s="244"/>
      <c r="L14" s="245"/>
    </row>
    <row r="15" spans="1:12" ht="18" customHeight="1" x14ac:dyDescent="0.2">
      <c r="A15" s="262"/>
      <c r="B15" s="244"/>
      <c r="C15" s="244"/>
      <c r="D15" s="244"/>
      <c r="E15" s="244"/>
      <c r="F15" s="245"/>
      <c r="G15" s="325"/>
      <c r="H15" s="244"/>
      <c r="I15" s="244"/>
      <c r="J15" s="244"/>
      <c r="K15" s="244"/>
      <c r="L15" s="245"/>
    </row>
    <row r="16" spans="1:12" ht="18" customHeight="1" x14ac:dyDescent="0.2">
      <c r="A16" s="324"/>
      <c r="B16" s="256"/>
      <c r="C16" s="256"/>
      <c r="D16" s="256"/>
      <c r="E16" s="256"/>
      <c r="F16" s="257"/>
      <c r="G16" s="324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LIST'!N:N="OENG FMALLN")+('TITLE LIST'!N:N="OMAND FMALLN")+('TITLE LIST'!N:N="OBM FMALLN")+('TITLE LIST'!N:N="OSOT ONLYALLN")+('TITLE LIST'!N:N="OENG FM04BN")+('TITLE LIST'!N:N="OMAND FM04BN")+('TITLE LIST'!N:N="OBM FM04BN")+('TITLE LIST'!N:N="OSOT ONLY04BN")),"")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A1:L1"/>
    <mergeCell ref="A2:D2"/>
    <mergeCell ref="A3:E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FF66CC"/>
    <pageSetUpPr fitToPage="1"/>
  </sheetPr>
  <dimension ref="A1:P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174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64" x14ac:dyDescent="0.7">
      <c r="A3" s="321" t="s">
        <v>260</v>
      </c>
      <c r="B3" s="249"/>
      <c r="C3" s="249"/>
      <c r="D3" s="249"/>
      <c r="E3" s="249"/>
      <c r="F3" s="7"/>
      <c r="G3" s="7"/>
      <c r="H3" s="7"/>
      <c r="I3" s="8"/>
      <c r="J3" s="10"/>
      <c r="K3" s="14"/>
      <c r="L3" s="16"/>
    </row>
    <row r="4" spans="1:12" ht="20" x14ac:dyDescent="0.25">
      <c r="A4" s="322" t="s">
        <v>131</v>
      </c>
      <c r="B4" s="249"/>
      <c r="C4" s="249"/>
      <c r="D4" s="11"/>
      <c r="E4" s="12"/>
      <c r="F4" s="13"/>
      <c r="G4" s="13"/>
      <c r="H4" s="13"/>
      <c r="I4" s="12"/>
      <c r="J4" s="14"/>
      <c r="K4" s="19"/>
      <c r="L4" s="18"/>
    </row>
    <row r="5" spans="1:12" ht="28.5" customHeight="1" x14ac:dyDescent="0.45">
      <c r="A5" s="310" t="s">
        <v>175</v>
      </c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23" t="s">
        <v>131</v>
      </c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26" t="s">
        <v>171</v>
      </c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26" t="s">
        <v>172</v>
      </c>
      <c r="H9" s="244"/>
      <c r="I9" s="244"/>
      <c r="J9" s="244"/>
      <c r="K9" s="244"/>
      <c r="L9" s="245"/>
    </row>
    <row r="10" spans="1:12" ht="18" customHeight="1" x14ac:dyDescent="0.2">
      <c r="A10" s="311"/>
      <c r="B10" s="244"/>
      <c r="C10" s="244"/>
      <c r="D10" s="244"/>
      <c r="E10" s="244"/>
      <c r="F10" s="245"/>
      <c r="G10" s="327" t="s">
        <v>173</v>
      </c>
      <c r="H10" s="244"/>
      <c r="I10" s="244"/>
      <c r="J10" s="244"/>
      <c r="K10" s="244"/>
      <c r="L10" s="245"/>
    </row>
    <row r="11" spans="1:12" ht="18" customHeight="1" x14ac:dyDescent="0.2">
      <c r="A11" s="329"/>
      <c r="B11" s="244"/>
      <c r="C11" s="244"/>
      <c r="D11" s="244"/>
      <c r="E11" s="244"/>
      <c r="F11" s="245"/>
      <c r="G11" s="255"/>
      <c r="H11" s="256"/>
      <c r="I11" s="256"/>
      <c r="J11" s="256"/>
      <c r="K11" s="256"/>
      <c r="L11" s="257"/>
    </row>
    <row r="12" spans="1:12" ht="18" customHeight="1" x14ac:dyDescent="0.2">
      <c r="A12" s="328"/>
      <c r="B12" s="240"/>
      <c r="C12" s="240"/>
      <c r="D12" s="240"/>
      <c r="E12" s="240"/>
      <c r="F12" s="241"/>
      <c r="G12" s="328"/>
      <c r="H12" s="240"/>
      <c r="I12" s="240"/>
      <c r="J12" s="240"/>
      <c r="K12" s="240"/>
      <c r="L12" s="241"/>
    </row>
    <row r="13" spans="1:12" ht="18" customHeight="1" x14ac:dyDescent="0.2">
      <c r="A13" s="325"/>
      <c r="B13" s="244"/>
      <c r="C13" s="244"/>
      <c r="D13" s="244"/>
      <c r="E13" s="244"/>
      <c r="F13" s="245"/>
      <c r="G13" s="325"/>
      <c r="H13" s="244"/>
      <c r="I13" s="244"/>
      <c r="J13" s="244"/>
      <c r="K13" s="244"/>
      <c r="L13" s="245"/>
    </row>
    <row r="14" spans="1:12" ht="18" customHeight="1" x14ac:dyDescent="0.2">
      <c r="A14" s="325"/>
      <c r="B14" s="244"/>
      <c r="C14" s="244"/>
      <c r="D14" s="244"/>
      <c r="E14" s="244"/>
      <c r="F14" s="245"/>
      <c r="G14" s="325"/>
      <c r="H14" s="244"/>
      <c r="I14" s="244"/>
      <c r="J14" s="244"/>
      <c r="K14" s="244"/>
      <c r="L14" s="245"/>
    </row>
    <row r="15" spans="1:12" ht="18" customHeight="1" x14ac:dyDescent="0.2">
      <c r="A15" s="325"/>
      <c r="B15" s="244"/>
      <c r="C15" s="244"/>
      <c r="D15" s="244"/>
      <c r="E15" s="244"/>
      <c r="F15" s="245"/>
      <c r="G15" s="325"/>
      <c r="H15" s="244"/>
      <c r="I15" s="244"/>
      <c r="J15" s="244"/>
      <c r="K15" s="244"/>
      <c r="L15" s="245"/>
    </row>
    <row r="16" spans="1:12" ht="18" customHeight="1" x14ac:dyDescent="0.2">
      <c r="A16" s="324"/>
      <c r="B16" s="256"/>
      <c r="C16" s="256"/>
      <c r="D16" s="256"/>
      <c r="E16" s="256"/>
      <c r="F16" s="257"/>
      <c r="G16" s="324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LIST'!N:N="OENG FMALLN")+('TITLE LIST'!N:N="OMAND FMALLN")+('TITLE LIST'!N:N="OBM FMALLN")+('TITLE LIST'!N:N="OSOT ONLYALLN")+('TITLE LIST'!N:N="OENG FM04BN")+('TITLE LIST'!N:N="OMAND FM04BN")+('TITLE LIST'!N:N="OBM FM04BN")+('TITLE LIST'!N:N="OSOT ONLY04BN")),"")</f>
        <v/>
      </c>
      <c r="C19" s="120"/>
      <c r="D19" s="120"/>
      <c r="E19" s="120"/>
      <c r="F19" s="31"/>
      <c r="G19" s="31"/>
      <c r="H19" s="132"/>
      <c r="I19" s="140"/>
      <c r="J19" s="140"/>
      <c r="K19" s="120"/>
      <c r="L19" s="31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8"/>
      <c r="C20" s="120"/>
      <c r="D20" s="120"/>
      <c r="E20" s="120"/>
      <c r="F20" s="31"/>
      <c r="G20" s="31"/>
      <c r="H20" s="132"/>
      <c r="I20" s="140"/>
      <c r="J20" s="140"/>
      <c r="K20" s="120"/>
      <c r="L20" s="31"/>
      <c r="M20" s="29"/>
      <c r="N20" s="29"/>
      <c r="O20" s="29"/>
    </row>
    <row r="21" spans="1:15" ht="30" customHeight="1" x14ac:dyDescent="0.2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A1:L1"/>
    <mergeCell ref="A2:D2"/>
    <mergeCell ref="A3:E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66CC"/>
    <pageSetUpPr fitToPage="1"/>
  </sheetPr>
  <dimension ref="A1:P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169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261</v>
      </c>
      <c r="B3" s="249"/>
      <c r="C3" s="249"/>
      <c r="D3" s="249"/>
      <c r="E3" s="249"/>
      <c r="F3" s="249"/>
      <c r="G3" s="7"/>
      <c r="H3" s="7"/>
      <c r="I3" s="8"/>
      <c r="J3" s="10"/>
      <c r="K3" s="10"/>
      <c r="L3" s="10"/>
    </row>
    <row r="4" spans="1:12" ht="20" x14ac:dyDescent="0.25">
      <c r="A4" s="330" t="s">
        <v>176</v>
      </c>
      <c r="B4" s="249"/>
      <c r="C4" s="249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351"/>
      <c r="B7" s="332"/>
      <c r="C7" s="332"/>
      <c r="D7" s="332"/>
      <c r="E7" s="332"/>
      <c r="F7" s="333"/>
      <c r="G7" s="331" t="s">
        <v>177</v>
      </c>
      <c r="H7" s="332"/>
      <c r="I7" s="332"/>
      <c r="J7" s="332"/>
      <c r="K7" s="332"/>
      <c r="L7" s="333"/>
    </row>
    <row r="8" spans="1:12" ht="18" customHeight="1" x14ac:dyDescent="0.2">
      <c r="A8" s="352"/>
      <c r="B8" s="344"/>
      <c r="C8" s="344"/>
      <c r="D8" s="344"/>
      <c r="E8" s="344"/>
      <c r="F8" s="345"/>
      <c r="G8" s="349" t="s">
        <v>178</v>
      </c>
      <c r="H8" s="344"/>
      <c r="I8" s="344"/>
      <c r="J8" s="344"/>
      <c r="K8" s="344"/>
      <c r="L8" s="345"/>
    </row>
    <row r="9" spans="1:12" ht="18" customHeight="1" x14ac:dyDescent="0.2">
      <c r="A9" s="352"/>
      <c r="B9" s="344"/>
      <c r="C9" s="344"/>
      <c r="D9" s="344"/>
      <c r="E9" s="344"/>
      <c r="F9" s="345"/>
      <c r="G9" s="349" t="s">
        <v>179</v>
      </c>
      <c r="H9" s="344"/>
      <c r="I9" s="344"/>
      <c r="J9" s="344"/>
      <c r="K9" s="344"/>
      <c r="L9" s="345"/>
    </row>
    <row r="10" spans="1:12" ht="18" customHeight="1" x14ac:dyDescent="0.2">
      <c r="A10" s="353"/>
      <c r="B10" s="344"/>
      <c r="C10" s="344"/>
      <c r="D10" s="344"/>
      <c r="E10" s="344"/>
      <c r="F10" s="345"/>
      <c r="G10" s="349" t="s">
        <v>180</v>
      </c>
      <c r="H10" s="344"/>
      <c r="I10" s="344"/>
      <c r="J10" s="344"/>
      <c r="K10" s="344"/>
      <c r="L10" s="345"/>
    </row>
    <row r="11" spans="1:12" ht="18" customHeight="1" thickBot="1" x14ac:dyDescent="0.25">
      <c r="A11" s="340"/>
      <c r="B11" s="347"/>
      <c r="C11" s="347"/>
      <c r="D11" s="347"/>
      <c r="E11" s="347"/>
      <c r="F11" s="348"/>
      <c r="G11" s="346" t="s">
        <v>181</v>
      </c>
      <c r="H11" s="347"/>
      <c r="I11" s="347"/>
      <c r="J11" s="347"/>
      <c r="K11" s="347"/>
      <c r="L11" s="348"/>
    </row>
    <row r="12" spans="1:12" ht="18" customHeight="1" x14ac:dyDescent="0.2">
      <c r="A12" s="354" t="s">
        <v>159</v>
      </c>
      <c r="B12" s="355"/>
      <c r="C12" s="355"/>
      <c r="D12" s="355"/>
      <c r="E12" s="355"/>
      <c r="F12" s="356"/>
      <c r="G12" s="350" t="s">
        <v>12</v>
      </c>
      <c r="H12" s="332"/>
      <c r="I12" s="332"/>
      <c r="J12" s="332"/>
      <c r="K12" s="332"/>
      <c r="L12" s="333"/>
    </row>
    <row r="13" spans="1:12" ht="18" customHeight="1" x14ac:dyDescent="0.2">
      <c r="A13" s="334" t="s">
        <v>178</v>
      </c>
      <c r="B13" s="335"/>
      <c r="C13" s="335"/>
      <c r="D13" s="335"/>
      <c r="E13" s="335"/>
      <c r="F13" s="336"/>
      <c r="G13" s="343" t="s">
        <v>178</v>
      </c>
      <c r="H13" s="344"/>
      <c r="I13" s="344"/>
      <c r="J13" s="344"/>
      <c r="K13" s="344"/>
      <c r="L13" s="345"/>
    </row>
    <row r="14" spans="1:12" ht="18" customHeight="1" x14ac:dyDescent="0.2">
      <c r="A14" s="334" t="s">
        <v>161</v>
      </c>
      <c r="B14" s="335"/>
      <c r="C14" s="335"/>
      <c r="D14" s="335"/>
      <c r="E14" s="335"/>
      <c r="F14" s="336"/>
      <c r="G14" s="343" t="s">
        <v>167</v>
      </c>
      <c r="H14" s="344"/>
      <c r="I14" s="344"/>
      <c r="J14" s="344"/>
      <c r="K14" s="344"/>
      <c r="L14" s="345"/>
    </row>
    <row r="15" spans="1:12" ht="18" customHeight="1" x14ac:dyDescent="0.2">
      <c r="A15" s="337" t="s">
        <v>181</v>
      </c>
      <c r="B15" s="338"/>
      <c r="C15" s="338"/>
      <c r="D15" s="338"/>
      <c r="E15" s="338"/>
      <c r="F15" s="339"/>
      <c r="G15" s="343" t="s">
        <v>182</v>
      </c>
      <c r="H15" s="344"/>
      <c r="I15" s="344"/>
      <c r="J15" s="344"/>
      <c r="K15" s="344"/>
      <c r="L15" s="345"/>
    </row>
    <row r="16" spans="1:12" ht="18" customHeight="1" thickBot="1" x14ac:dyDescent="0.25">
      <c r="A16" s="340"/>
      <c r="B16" s="341"/>
      <c r="C16" s="341"/>
      <c r="D16" s="341"/>
      <c r="E16" s="341"/>
      <c r="F16" s="342"/>
      <c r="G16" s="346" t="s">
        <v>181</v>
      </c>
      <c r="H16" s="347"/>
      <c r="I16" s="347"/>
      <c r="J16" s="347"/>
      <c r="K16" s="347"/>
      <c r="L16" s="348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LIST'!N:N="OENG FMALLN")+('TITLE LIST'!N:N="ASOT ONLYALLN")+('TITLE LIST'!N:N="GSOT ONLYALLN")+('TITLE LIST'!N:N="OSOT ONLYALLN")+('TITLE LIST'!N:N="AENG FM04EN")+('TITLE LIST'!N:N="GENG FM04EN")+('TITLE LIST'!N:N="OENG FM04EN")+('TITLE LIST'!N:N="ASOT ONLY04EN")+('TITLE LIST'!N:N="GSOT ONLY04EN")+('TITLE LIST'!N:N="OSOT ONLY04EN")+('TITLE LIST'!N:N="GENG FMALLY")+('TITLE LIST'!N:N="GSOT ONLYALLY")+('TITLE LIST'!N:N="GENG FM04EY")+('TITLE LIST'!N:N="GSOT ONLY04EY")),"")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6:C6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92D050"/>
    <pageSetUpPr fitToPage="1"/>
  </sheetPr>
  <dimension ref="A1:P45"/>
  <sheetViews>
    <sheetView showZeros="0" topLeftCell="A2" zoomScale="70" zoomScaleNormal="70" workbookViewId="0">
      <selection activeCell="A3" sqref="A3:D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169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2" x14ac:dyDescent="0.6">
      <c r="A3" s="251" t="s">
        <v>262</v>
      </c>
      <c r="B3" s="249"/>
      <c r="C3" s="249"/>
      <c r="D3" s="249"/>
      <c r="E3" s="17"/>
      <c r="F3" s="7"/>
      <c r="G3" s="7"/>
      <c r="H3" s="7"/>
      <c r="I3" s="8"/>
      <c r="J3" s="10"/>
      <c r="K3" s="14"/>
      <c r="L3" s="16"/>
    </row>
    <row r="4" spans="1:12" ht="20" x14ac:dyDescent="0.25">
      <c r="A4" s="330" t="s">
        <v>163</v>
      </c>
      <c r="B4" s="249"/>
      <c r="C4" s="249"/>
      <c r="D4" s="11"/>
      <c r="E4" s="12"/>
      <c r="F4" s="13"/>
      <c r="G4" s="13"/>
      <c r="H4" s="13"/>
      <c r="I4" s="12"/>
      <c r="J4" s="14"/>
      <c r="K4" s="19"/>
      <c r="L4" s="18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23"/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26"/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26"/>
      <c r="H9" s="244"/>
      <c r="I9" s="244"/>
      <c r="J9" s="244"/>
      <c r="K9" s="244"/>
      <c r="L9" s="245"/>
    </row>
    <row r="10" spans="1:12" ht="18" customHeight="1" x14ac:dyDescent="0.2">
      <c r="A10" s="246"/>
      <c r="B10" s="244"/>
      <c r="C10" s="244"/>
      <c r="D10" s="244"/>
      <c r="E10" s="244"/>
      <c r="F10" s="245"/>
      <c r="G10" s="326"/>
      <c r="H10" s="244"/>
      <c r="I10" s="244"/>
      <c r="J10" s="244"/>
      <c r="K10" s="244"/>
      <c r="L10" s="245"/>
    </row>
    <row r="11" spans="1:12" ht="18" customHeight="1" x14ac:dyDescent="0.2">
      <c r="A11" s="255"/>
      <c r="B11" s="256"/>
      <c r="C11" s="256"/>
      <c r="D11" s="256"/>
      <c r="E11" s="256"/>
      <c r="F11" s="257"/>
      <c r="G11" s="255"/>
      <c r="H11" s="256"/>
      <c r="I11" s="256"/>
      <c r="J11" s="256"/>
      <c r="K11" s="256"/>
      <c r="L11" s="257"/>
    </row>
    <row r="12" spans="1:12" ht="18" customHeight="1" x14ac:dyDescent="0.2">
      <c r="A12" s="261" t="s">
        <v>159</v>
      </c>
      <c r="B12" s="240"/>
      <c r="C12" s="240"/>
      <c r="D12" s="240"/>
      <c r="E12" s="240"/>
      <c r="F12" s="241"/>
      <c r="G12" s="239" t="s">
        <v>12</v>
      </c>
      <c r="H12" s="240"/>
      <c r="I12" s="240"/>
      <c r="J12" s="240"/>
      <c r="K12" s="240"/>
      <c r="L12" s="241"/>
    </row>
    <row r="13" spans="1:12" ht="18" customHeight="1" x14ac:dyDescent="0.2">
      <c r="A13" s="262" t="s">
        <v>178</v>
      </c>
      <c r="B13" s="244"/>
      <c r="C13" s="244"/>
      <c r="D13" s="244"/>
      <c r="E13" s="244"/>
      <c r="F13" s="245"/>
      <c r="G13" s="260" t="s">
        <v>178</v>
      </c>
      <c r="H13" s="244"/>
      <c r="I13" s="244"/>
      <c r="J13" s="244"/>
      <c r="K13" s="244"/>
      <c r="L13" s="245"/>
    </row>
    <row r="14" spans="1:12" ht="18" customHeight="1" x14ac:dyDescent="0.2">
      <c r="A14" s="262"/>
      <c r="B14" s="244"/>
      <c r="C14" s="244"/>
      <c r="D14" s="244"/>
      <c r="E14" s="244"/>
      <c r="F14" s="245"/>
      <c r="G14" s="326"/>
      <c r="H14" s="244"/>
      <c r="I14" s="244"/>
      <c r="J14" s="244"/>
      <c r="K14" s="244"/>
      <c r="L14" s="245"/>
    </row>
    <row r="15" spans="1:12" ht="18" customHeight="1" x14ac:dyDescent="0.2">
      <c r="A15" s="262"/>
      <c r="B15" s="244"/>
      <c r="C15" s="244"/>
      <c r="D15" s="244"/>
      <c r="E15" s="244"/>
      <c r="F15" s="245"/>
      <c r="G15" s="326"/>
      <c r="H15" s="244"/>
      <c r="I15" s="244"/>
      <c r="J15" s="244"/>
      <c r="K15" s="244"/>
      <c r="L15" s="245"/>
    </row>
    <row r="16" spans="1:12" ht="18" customHeight="1" x14ac:dyDescent="0.2">
      <c r="A16" s="312"/>
      <c r="B16" s="256"/>
      <c r="C16" s="256"/>
      <c r="D16" s="256"/>
      <c r="E16" s="256"/>
      <c r="F16" s="257"/>
      <c r="G16" s="324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FM05AN")+('TITLE LIST'!N:N="GENG FM05AN")+('TITLE LIST'!N:N="ASOT ONLY05AN")+('TITLE LIST'!N:N="GSOT ONLY05AN")),"")</f>
        <v/>
      </c>
      <c r="C19" s="119"/>
      <c r="D19" s="184"/>
      <c r="E19" s="184"/>
      <c r="F19" s="123"/>
      <c r="G19" s="123"/>
      <c r="H19" s="185"/>
      <c r="I19" s="139"/>
      <c r="J19" s="139"/>
      <c r="K19" s="120"/>
      <c r="L19" s="31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D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92D050"/>
    <pageSetUpPr fitToPage="1"/>
  </sheetPr>
  <dimension ref="A1:P45"/>
  <sheetViews>
    <sheetView showZeros="0" zoomScale="70" zoomScaleNormal="70" workbookViewId="0">
      <selection activeCell="A3" sqref="A3:D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6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6"/>
      <c r="N1" s="6"/>
      <c r="O1" s="6"/>
      <c r="P1" s="6"/>
    </row>
    <row r="2" spans="1:16" x14ac:dyDescent="0.2">
      <c r="A2" s="357" t="s">
        <v>240</v>
      </c>
      <c r="B2" s="358"/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</row>
    <row r="3" spans="1:16" ht="52" x14ac:dyDescent="0.6">
      <c r="A3" s="251" t="s">
        <v>263</v>
      </c>
      <c r="B3" s="249"/>
      <c r="C3" s="249"/>
      <c r="D3" s="249"/>
      <c r="E3" s="17"/>
      <c r="F3" s="7"/>
      <c r="G3" s="7"/>
      <c r="H3" s="7"/>
      <c r="I3" s="8"/>
      <c r="J3" s="10"/>
      <c r="K3" s="14"/>
      <c r="L3" s="16"/>
      <c r="M3" s="9"/>
      <c r="N3" s="9"/>
      <c r="O3" s="9"/>
      <c r="P3" s="9"/>
    </row>
    <row r="4" spans="1:16" ht="20" x14ac:dyDescent="0.25">
      <c r="A4" s="330" t="s">
        <v>183</v>
      </c>
      <c r="B4" s="249"/>
      <c r="C4" s="249"/>
      <c r="D4" s="11"/>
      <c r="E4" s="12"/>
      <c r="F4" s="13"/>
      <c r="G4" s="13"/>
      <c r="H4" s="13"/>
      <c r="I4" s="12"/>
      <c r="J4" s="14"/>
      <c r="K4" s="19"/>
      <c r="L4" s="18"/>
      <c r="M4" s="9"/>
      <c r="N4" s="9"/>
      <c r="O4" s="9"/>
      <c r="P4" s="9"/>
    </row>
    <row r="5" spans="1:16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  <c r="M5" s="6"/>
      <c r="N5" s="6"/>
      <c r="O5" s="6"/>
      <c r="P5" s="6"/>
    </row>
    <row r="6" spans="1:16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  <c r="M6" s="9"/>
      <c r="N6" s="9"/>
      <c r="O6" s="9"/>
      <c r="P6" s="9"/>
    </row>
    <row r="7" spans="1:16" ht="18" customHeight="1" x14ac:dyDescent="0.2">
      <c r="A7" s="351"/>
      <c r="B7" s="332"/>
      <c r="C7" s="332"/>
      <c r="D7" s="332"/>
      <c r="E7" s="332"/>
      <c r="F7" s="333"/>
      <c r="G7" s="331" t="s">
        <v>131</v>
      </c>
      <c r="H7" s="332"/>
      <c r="I7" s="332"/>
      <c r="J7" s="332"/>
      <c r="K7" s="332"/>
      <c r="L7" s="333"/>
      <c r="M7" s="9"/>
      <c r="N7" s="9"/>
      <c r="O7" s="9"/>
      <c r="P7" s="9"/>
    </row>
    <row r="8" spans="1:16" ht="18" customHeight="1" x14ac:dyDescent="0.2">
      <c r="A8" s="352"/>
      <c r="B8" s="344"/>
      <c r="C8" s="344"/>
      <c r="D8" s="344"/>
      <c r="E8" s="344"/>
      <c r="F8" s="345"/>
      <c r="G8" s="349" t="s">
        <v>184</v>
      </c>
      <c r="H8" s="344"/>
      <c r="I8" s="344"/>
      <c r="J8" s="344"/>
      <c r="K8" s="344"/>
      <c r="L8" s="345"/>
      <c r="M8" s="9"/>
      <c r="N8" s="9"/>
      <c r="O8" s="9"/>
      <c r="P8" s="9"/>
    </row>
    <row r="9" spans="1:16" ht="18" customHeight="1" x14ac:dyDescent="0.2">
      <c r="A9" s="352"/>
      <c r="B9" s="344"/>
      <c r="C9" s="344"/>
      <c r="D9" s="344"/>
      <c r="E9" s="344"/>
      <c r="F9" s="345"/>
      <c r="G9" s="349" t="s">
        <v>185</v>
      </c>
      <c r="H9" s="344"/>
      <c r="I9" s="344"/>
      <c r="J9" s="344"/>
      <c r="K9" s="344"/>
      <c r="L9" s="345"/>
      <c r="M9" s="9"/>
      <c r="N9" s="9"/>
      <c r="O9" s="9"/>
      <c r="P9" s="9"/>
    </row>
    <row r="10" spans="1:16" ht="18" customHeight="1" x14ac:dyDescent="0.2">
      <c r="A10" s="352"/>
      <c r="B10" s="344"/>
      <c r="C10" s="344"/>
      <c r="D10" s="344"/>
      <c r="E10" s="344"/>
      <c r="F10" s="345"/>
      <c r="G10" s="337" t="s">
        <v>186</v>
      </c>
      <c r="H10" s="344"/>
      <c r="I10" s="344"/>
      <c r="J10" s="344"/>
      <c r="K10" s="344"/>
      <c r="L10" s="345"/>
      <c r="M10" s="9"/>
      <c r="N10" s="9"/>
      <c r="O10" s="9"/>
      <c r="P10" s="9"/>
    </row>
    <row r="11" spans="1:16" ht="18" customHeight="1" x14ac:dyDescent="0.2">
      <c r="A11" s="359"/>
      <c r="B11" s="347"/>
      <c r="C11" s="347"/>
      <c r="D11" s="347"/>
      <c r="E11" s="347"/>
      <c r="F11" s="348"/>
      <c r="G11" s="359"/>
      <c r="H11" s="347"/>
      <c r="I11" s="347"/>
      <c r="J11" s="347"/>
      <c r="K11" s="347"/>
      <c r="L11" s="348"/>
      <c r="M11" s="9"/>
      <c r="N11" s="9"/>
      <c r="O11" s="9"/>
      <c r="P11" s="9"/>
    </row>
    <row r="12" spans="1:16" ht="18" customHeight="1" x14ac:dyDescent="0.2">
      <c r="A12" s="354" t="s">
        <v>187</v>
      </c>
      <c r="B12" s="332"/>
      <c r="C12" s="332"/>
      <c r="D12" s="332"/>
      <c r="E12" s="332"/>
      <c r="F12" s="333"/>
      <c r="G12" s="350" t="s">
        <v>128</v>
      </c>
      <c r="H12" s="332"/>
      <c r="I12" s="332"/>
      <c r="J12" s="332"/>
      <c r="K12" s="332"/>
      <c r="L12" s="333"/>
      <c r="M12" s="9"/>
      <c r="N12" s="9"/>
      <c r="O12" s="9"/>
      <c r="P12" s="9"/>
    </row>
    <row r="13" spans="1:16" ht="18" customHeight="1" x14ac:dyDescent="0.2">
      <c r="A13" s="334" t="s">
        <v>178</v>
      </c>
      <c r="B13" s="344"/>
      <c r="C13" s="344"/>
      <c r="D13" s="344"/>
      <c r="E13" s="344"/>
      <c r="F13" s="345"/>
      <c r="G13" s="343" t="s">
        <v>188</v>
      </c>
      <c r="H13" s="344"/>
      <c r="I13" s="344"/>
      <c r="J13" s="344"/>
      <c r="K13" s="344"/>
      <c r="L13" s="345"/>
      <c r="M13" s="9"/>
      <c r="N13" s="9"/>
      <c r="O13" s="9"/>
      <c r="P13" s="9"/>
    </row>
    <row r="14" spans="1:16" ht="18" customHeight="1" x14ac:dyDescent="0.2">
      <c r="A14" s="334" t="s">
        <v>189</v>
      </c>
      <c r="B14" s="344"/>
      <c r="C14" s="344"/>
      <c r="D14" s="344"/>
      <c r="E14" s="344"/>
      <c r="F14" s="345"/>
      <c r="G14" s="343" t="s">
        <v>190</v>
      </c>
      <c r="H14" s="344"/>
      <c r="I14" s="344"/>
      <c r="J14" s="344"/>
      <c r="K14" s="344"/>
      <c r="L14" s="345"/>
      <c r="M14" s="9"/>
      <c r="N14" s="9"/>
      <c r="O14" s="9"/>
      <c r="P14" s="9"/>
    </row>
    <row r="15" spans="1:16" ht="18" customHeight="1" x14ac:dyDescent="0.2">
      <c r="A15" s="337" t="s">
        <v>186</v>
      </c>
      <c r="B15" s="338"/>
      <c r="C15" s="338"/>
      <c r="D15" s="338"/>
      <c r="E15" s="338"/>
      <c r="F15" s="339"/>
      <c r="G15" s="337" t="s">
        <v>186</v>
      </c>
      <c r="H15" s="344"/>
      <c r="I15" s="344"/>
      <c r="J15" s="344"/>
      <c r="K15" s="344"/>
      <c r="L15" s="345"/>
      <c r="M15" s="9"/>
      <c r="N15" s="9"/>
      <c r="O15" s="9"/>
      <c r="P15" s="9"/>
    </row>
    <row r="16" spans="1:16" ht="18" customHeight="1" thickBot="1" x14ac:dyDescent="0.25">
      <c r="A16" s="360"/>
      <c r="B16" s="347"/>
      <c r="C16" s="347"/>
      <c r="D16" s="347"/>
      <c r="E16" s="347"/>
      <c r="F16" s="348"/>
      <c r="G16" s="340"/>
      <c r="H16" s="347"/>
      <c r="I16" s="347"/>
      <c r="J16" s="347"/>
      <c r="K16" s="347"/>
      <c r="L16" s="348"/>
      <c r="M16" s="9"/>
      <c r="N16" s="9"/>
      <c r="O16" s="9"/>
      <c r="P16" s="9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191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LIST'!N:N="GMAND FMALLN")+('TITLE LIST'!N:N="OMAND FMALLN")+('TITLE LIST'!N:N="OBM FMALLN")+('TITLE LIST'!N:N="ASOT ONLYALLN")+('TITLE LIST'!N:N="GSOT ONLYALLN")+('TITLE LIST'!N:N="OSOT ONLYALLN")+('TITLE LIST'!N:N="AENG FM05BN")+('TITLE LIST'!N:N="GMAND FM05BN")+('TITLE LIST'!N:N="OMAND FM05BN")+('TITLE LIST'!N:N="OBM FM05BN")+('TITLE LIST'!N:N="ASOT ONLY05BN")+('TITLE LIST'!N:N="GSOT ONLY05BN")+('TITLE LIST'!N:N="OSOT ONLY05BN")+('TITLE LIST'!N:N="GMAND FMALLY")+('TITLE LIST'!N:N="GSOT ONLYALLY")+('TITLE LIST'!N:N="GMAND FM05BY")+('TITLE LIST'!N:N="GSOT ONLY05BY")),"")</f>
        <v/>
      </c>
      <c r="C19" s="119"/>
      <c r="D19" s="184"/>
      <c r="E19" s="184"/>
      <c r="F19" s="123"/>
      <c r="G19" s="123"/>
      <c r="H19" s="185"/>
      <c r="I19" s="139"/>
      <c r="J19" s="139"/>
      <c r="K19" s="120"/>
      <c r="L19" s="31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5:F15"/>
    <mergeCell ref="A16:F16"/>
    <mergeCell ref="D18:E18"/>
    <mergeCell ref="G15:L15"/>
    <mergeCell ref="G16:L16"/>
    <mergeCell ref="A9:F9"/>
    <mergeCell ref="G9:L9"/>
    <mergeCell ref="A10:F10"/>
    <mergeCell ref="G10:L10"/>
    <mergeCell ref="A14:F14"/>
    <mergeCell ref="A11:F11"/>
    <mergeCell ref="G11:L11"/>
    <mergeCell ref="A12:F12"/>
    <mergeCell ref="G12:L12"/>
    <mergeCell ref="A13:F13"/>
    <mergeCell ref="G13:L13"/>
    <mergeCell ref="G14:L14"/>
    <mergeCell ref="G7:L7"/>
    <mergeCell ref="A7:F7"/>
    <mergeCell ref="A8:F8"/>
    <mergeCell ref="G8:L8"/>
    <mergeCell ref="A6:C6"/>
    <mergeCell ref="A1:L1"/>
    <mergeCell ref="A2:P2"/>
    <mergeCell ref="A3:D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486F4-E857-46E8-AE5C-2067D715D7EA}">
  <sheetPr codeName="Sheet32">
    <tabColor rgb="FF92D050"/>
    <pageSetUpPr fitToPage="1"/>
  </sheetPr>
  <dimension ref="A1:P45"/>
  <sheetViews>
    <sheetView showZeros="0" zoomScale="70" zoomScaleNormal="70" workbookViewId="0">
      <selection activeCell="A3" sqref="A3:D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246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2" x14ac:dyDescent="0.6">
      <c r="A3" s="251" t="s">
        <v>264</v>
      </c>
      <c r="B3" s="249"/>
      <c r="C3" s="249"/>
      <c r="D3" s="249"/>
      <c r="E3" s="17"/>
      <c r="F3" s="7"/>
      <c r="G3" s="7"/>
      <c r="H3" s="7"/>
      <c r="I3" s="8"/>
      <c r="J3" s="10"/>
      <c r="K3" s="14"/>
      <c r="L3" s="16"/>
    </row>
    <row r="4" spans="1:12" ht="20" x14ac:dyDescent="0.25">
      <c r="A4" s="330" t="s">
        <v>183</v>
      </c>
      <c r="B4" s="249"/>
      <c r="C4" s="249"/>
      <c r="D4" s="11"/>
      <c r="E4" s="12"/>
      <c r="F4" s="13"/>
      <c r="G4" s="13"/>
      <c r="H4" s="13"/>
      <c r="I4" s="12"/>
      <c r="J4" s="14"/>
      <c r="K4" s="19"/>
      <c r="L4" s="18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61" t="s">
        <v>177</v>
      </c>
      <c r="H7" s="362"/>
      <c r="I7" s="362"/>
      <c r="J7" s="362"/>
      <c r="K7" s="362"/>
      <c r="L7" s="363"/>
    </row>
    <row r="8" spans="1:12" ht="18" customHeight="1" x14ac:dyDescent="0.2">
      <c r="A8" s="246"/>
      <c r="B8" s="244"/>
      <c r="C8" s="244"/>
      <c r="D8" s="244"/>
      <c r="E8" s="244"/>
      <c r="F8" s="245"/>
      <c r="G8" s="364" t="s">
        <v>247</v>
      </c>
      <c r="H8" s="365"/>
      <c r="I8" s="365"/>
      <c r="J8" s="365"/>
      <c r="K8" s="365"/>
      <c r="L8" s="366"/>
    </row>
    <row r="9" spans="1:12" ht="18" customHeight="1" x14ac:dyDescent="0.2">
      <c r="A9" s="246"/>
      <c r="B9" s="244"/>
      <c r="C9" s="244"/>
      <c r="D9" s="244"/>
      <c r="E9" s="244"/>
      <c r="F9" s="245"/>
      <c r="G9" s="364" t="s">
        <v>179</v>
      </c>
      <c r="H9" s="365"/>
      <c r="I9" s="365"/>
      <c r="J9" s="365"/>
      <c r="K9" s="365"/>
      <c r="L9" s="366"/>
    </row>
    <row r="10" spans="1:12" ht="18" customHeight="1" x14ac:dyDescent="0.2">
      <c r="A10" s="246"/>
      <c r="B10" s="244"/>
      <c r="C10" s="244"/>
      <c r="D10" s="244"/>
      <c r="E10" s="244"/>
      <c r="F10" s="245"/>
      <c r="G10" s="326"/>
      <c r="H10" s="244"/>
      <c r="I10" s="244"/>
      <c r="J10" s="244"/>
      <c r="K10" s="244"/>
      <c r="L10" s="245"/>
    </row>
    <row r="11" spans="1:12" ht="18" customHeight="1" thickBot="1" x14ac:dyDescent="0.25">
      <c r="A11" s="255"/>
      <c r="B11" s="256"/>
      <c r="C11" s="256"/>
      <c r="D11" s="256"/>
      <c r="E11" s="256"/>
      <c r="F11" s="257"/>
      <c r="G11" s="255"/>
      <c r="H11" s="256"/>
      <c r="I11" s="256"/>
      <c r="J11" s="256"/>
      <c r="K11" s="256"/>
      <c r="L11" s="257"/>
    </row>
    <row r="12" spans="1:12" ht="18" customHeight="1" x14ac:dyDescent="0.2">
      <c r="A12" s="367" t="s">
        <v>159</v>
      </c>
      <c r="B12" s="368"/>
      <c r="C12" s="368"/>
      <c r="D12" s="368"/>
      <c r="E12" s="368"/>
      <c r="F12" s="369"/>
      <c r="G12" s="370" t="s">
        <v>128</v>
      </c>
      <c r="H12" s="371"/>
      <c r="I12" s="371"/>
      <c r="J12" s="371"/>
      <c r="K12" s="371"/>
      <c r="L12" s="372"/>
    </row>
    <row r="13" spans="1:12" ht="18" customHeight="1" x14ac:dyDescent="0.2">
      <c r="A13" s="373" t="s">
        <v>198</v>
      </c>
      <c r="B13" s="374"/>
      <c r="C13" s="374"/>
      <c r="D13" s="374"/>
      <c r="E13" s="374"/>
      <c r="F13" s="375"/>
      <c r="G13" s="376" t="s">
        <v>247</v>
      </c>
      <c r="H13" s="377"/>
      <c r="I13" s="377"/>
      <c r="J13" s="377"/>
      <c r="K13" s="377"/>
      <c r="L13" s="378"/>
    </row>
    <row r="14" spans="1:12" ht="18" customHeight="1" x14ac:dyDescent="0.2">
      <c r="A14" s="373" t="s">
        <v>161</v>
      </c>
      <c r="B14" s="374"/>
      <c r="C14" s="374"/>
      <c r="D14" s="374"/>
      <c r="E14" s="374"/>
      <c r="F14" s="375"/>
      <c r="G14" s="376" t="s">
        <v>167</v>
      </c>
      <c r="H14" s="377"/>
      <c r="I14" s="377"/>
      <c r="J14" s="377"/>
      <c r="K14" s="377"/>
      <c r="L14" s="378"/>
    </row>
    <row r="15" spans="1:12" ht="18" customHeight="1" x14ac:dyDescent="0.2">
      <c r="A15" s="262"/>
      <c r="B15" s="244"/>
      <c r="C15" s="244"/>
      <c r="D15" s="244"/>
      <c r="E15" s="244"/>
      <c r="F15" s="245"/>
      <c r="G15" s="326"/>
      <c r="H15" s="244"/>
      <c r="I15" s="244"/>
      <c r="J15" s="244"/>
      <c r="K15" s="244"/>
      <c r="L15" s="245"/>
    </row>
    <row r="16" spans="1:12" ht="18" customHeight="1" thickBot="1" x14ac:dyDescent="0.25">
      <c r="A16" s="312"/>
      <c r="B16" s="256"/>
      <c r="C16" s="256"/>
      <c r="D16" s="256"/>
      <c r="E16" s="256"/>
      <c r="F16" s="257"/>
      <c r="G16" s="324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LIST'!N:N="GMAND FMALLN")+('TITLE LIST'!N:N="OENG FMALLN")+('TITLE LIST'!N:N="OMAND FMALLN")+('TITLE LIST'!N:N="ASOT ONLYALLN")+('TITLE LIST'!N:N="GSOT ONLYALLN")+('TITLE LIST'!N:N="OSOT ONLYALLN")+('TITLE LIST'!N:N="AENG FM05CN")+('TITLE LIST'!N:N="GENG FM05CN")+('TITLE LIST'!N:N="GMAND FM05CN")+('TITLE LIST'!N:N="OENG FM05CN")+('TITLE LIST'!N:N="OMAND FM05CN")+('TITLE LIST'!N:N="ASOT ONLY05CN")+('TITLE LIST'!N:N="GSOT ONLY05CN")+('TITLE LIST'!N:N="OSOT ONLY05CN")+('TITLE LIST'!N:N="GENG FMALLY")+('TITLE LIST'!N:N="GMAND FMALLY")+('TITLE LIST'!N:N="GSOT ONLYALLY")+('TITLE LIST'!N:N="GENG FM05CY")+('TITLE LIST'!N:N="GMAND FM05CY")+('TITLE LIST'!N:N="GSOT ONLY05CY")),"")</f>
        <v/>
      </c>
      <c r="C19" s="119"/>
      <c r="D19" s="184"/>
      <c r="E19" s="184"/>
      <c r="F19" s="123"/>
      <c r="G19" s="123"/>
      <c r="H19" s="185"/>
      <c r="I19" s="139"/>
      <c r="J19" s="139"/>
      <c r="K19" s="120"/>
      <c r="L19" s="31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16:F16"/>
    <mergeCell ref="G16:L16"/>
    <mergeCell ref="D18:E18"/>
    <mergeCell ref="A13:F13"/>
    <mergeCell ref="G13:L13"/>
    <mergeCell ref="A14:F14"/>
    <mergeCell ref="G14:L14"/>
    <mergeCell ref="A15:F15"/>
    <mergeCell ref="G15:L15"/>
    <mergeCell ref="A10:F10"/>
    <mergeCell ref="G10:L10"/>
    <mergeCell ref="A11:F11"/>
    <mergeCell ref="G11:L11"/>
    <mergeCell ref="A12:F12"/>
    <mergeCell ref="G12:L12"/>
    <mergeCell ref="A7:F7"/>
    <mergeCell ref="G7:L7"/>
    <mergeCell ref="A8:F8"/>
    <mergeCell ref="G8:L8"/>
    <mergeCell ref="A9:F9"/>
    <mergeCell ref="G9:L9"/>
    <mergeCell ref="A6:C6"/>
    <mergeCell ref="A1:L1"/>
    <mergeCell ref="A2:D2"/>
    <mergeCell ref="A3:D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92D050"/>
    <pageSetUpPr fitToPage="1"/>
  </sheetPr>
  <dimension ref="A1:P45"/>
  <sheetViews>
    <sheetView showZeros="0" zoomScale="70" zoomScaleNormal="70" workbookViewId="0">
      <selection activeCell="A3" sqref="A3:D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13.5" hidden="1" customWidth="1"/>
    <col min="17" max="18" width="13.5" customWidth="1"/>
    <col min="19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169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2" x14ac:dyDescent="0.6">
      <c r="A3" s="251" t="s">
        <v>265</v>
      </c>
      <c r="B3" s="249"/>
      <c r="C3" s="249"/>
      <c r="D3" s="249"/>
      <c r="E3" s="17"/>
      <c r="F3" s="7"/>
      <c r="G3" s="7"/>
      <c r="H3" s="7"/>
      <c r="I3" s="8"/>
      <c r="J3" s="10"/>
      <c r="K3" s="14"/>
      <c r="L3" s="16"/>
    </row>
    <row r="4" spans="1:12" ht="20" x14ac:dyDescent="0.25">
      <c r="A4" s="330" t="s">
        <v>183</v>
      </c>
      <c r="B4" s="249"/>
      <c r="C4" s="249"/>
      <c r="D4" s="11"/>
      <c r="E4" s="12"/>
      <c r="F4" s="13"/>
      <c r="G4" s="13"/>
      <c r="H4" s="13"/>
      <c r="I4" s="12"/>
      <c r="J4" s="14"/>
      <c r="K4" s="19"/>
      <c r="L4" s="18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23" t="s">
        <v>131</v>
      </c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26" t="s">
        <v>192</v>
      </c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26" t="s">
        <v>193</v>
      </c>
      <c r="H9" s="244"/>
      <c r="I9" s="244"/>
      <c r="J9" s="244"/>
      <c r="K9" s="244"/>
      <c r="L9" s="245"/>
    </row>
    <row r="10" spans="1:12" ht="18" customHeight="1" x14ac:dyDescent="0.2">
      <c r="A10" s="311"/>
      <c r="B10" s="244"/>
      <c r="C10" s="244"/>
      <c r="D10" s="244"/>
      <c r="E10" s="244"/>
      <c r="F10" s="245"/>
      <c r="G10" s="327" t="s">
        <v>194</v>
      </c>
      <c r="H10" s="244"/>
      <c r="I10" s="244"/>
      <c r="J10" s="244"/>
      <c r="K10" s="244"/>
      <c r="L10" s="245"/>
    </row>
    <row r="11" spans="1:12" ht="18" customHeight="1" x14ac:dyDescent="0.2">
      <c r="A11" s="312"/>
      <c r="B11" s="256"/>
      <c r="C11" s="256"/>
      <c r="D11" s="256"/>
      <c r="E11" s="256"/>
      <c r="F11" s="257"/>
      <c r="G11" s="36"/>
      <c r="H11" s="21"/>
      <c r="I11" s="21"/>
      <c r="J11" s="21"/>
      <c r="K11" s="21"/>
      <c r="L11" s="22"/>
    </row>
    <row r="12" spans="1:12" ht="18" customHeight="1" x14ac:dyDescent="0.2">
      <c r="A12" s="261" t="s">
        <v>195</v>
      </c>
      <c r="B12" s="240"/>
      <c r="C12" s="240"/>
      <c r="D12" s="240"/>
      <c r="E12" s="240"/>
      <c r="F12" s="241"/>
      <c r="G12" s="239" t="s">
        <v>128</v>
      </c>
      <c r="H12" s="240"/>
      <c r="I12" s="240"/>
      <c r="J12" s="240"/>
      <c r="K12" s="240"/>
      <c r="L12" s="241"/>
    </row>
    <row r="13" spans="1:12" ht="18" customHeight="1" x14ac:dyDescent="0.2">
      <c r="A13" s="262" t="s">
        <v>196</v>
      </c>
      <c r="B13" s="244"/>
      <c r="C13" s="244"/>
      <c r="D13" s="244"/>
      <c r="E13" s="244"/>
      <c r="F13" s="245"/>
      <c r="G13" s="260" t="s">
        <v>197</v>
      </c>
      <c r="H13" s="244"/>
      <c r="I13" s="244"/>
      <c r="J13" s="244"/>
      <c r="K13" s="244"/>
      <c r="L13" s="245"/>
    </row>
    <row r="14" spans="1:12" ht="18" customHeight="1" x14ac:dyDescent="0.2">
      <c r="A14" s="262" t="s">
        <v>198</v>
      </c>
      <c r="B14" s="244"/>
      <c r="C14" s="244"/>
      <c r="D14" s="244"/>
      <c r="E14" s="244"/>
      <c r="F14" s="245"/>
      <c r="G14" s="260" t="s">
        <v>199</v>
      </c>
      <c r="H14" s="244"/>
      <c r="I14" s="244"/>
      <c r="J14" s="244"/>
      <c r="K14" s="244"/>
      <c r="L14" s="245"/>
    </row>
    <row r="15" spans="1:12" ht="18" customHeight="1" x14ac:dyDescent="0.2">
      <c r="A15" s="379" t="s">
        <v>194</v>
      </c>
      <c r="B15" s="244"/>
      <c r="C15" s="244"/>
      <c r="D15" s="244"/>
      <c r="E15" s="244"/>
      <c r="F15" s="245"/>
      <c r="G15" s="381" t="s">
        <v>194</v>
      </c>
      <c r="H15" s="244"/>
      <c r="I15" s="244"/>
      <c r="J15" s="244"/>
      <c r="K15" s="244"/>
      <c r="L15" s="245"/>
    </row>
    <row r="16" spans="1:12" ht="18" customHeight="1" x14ac:dyDescent="0.2">
      <c r="A16" s="380"/>
      <c r="B16" s="256"/>
      <c r="C16" s="256"/>
      <c r="D16" s="256"/>
      <c r="E16" s="256"/>
      <c r="F16" s="257"/>
      <c r="G16" s="312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17"/>
      <c r="N18" s="9"/>
      <c r="O18" s="9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FM05EN")+('TITLE LIST'!N:N="GMAND FM05EN")+('TITLE LIST'!N:N="GENG FM05EN")+('TITLE LIST'!N:N="OMAND FM05EN")+('TITLE LIST'!N:N="OBM FM05EN")+('TITLE LIST'!N:N="ASOT ONLY05EN")+('TITLE LIST'!N:N="GSOT ONLY05EN")+('TITLE LIST'!N:N="OSOT ONLY05EN")+('TITLE LIST'!N:N="GMAND FM05EY")+('TITLE LIST'!N:N="GENG FM05EY")+('TITLE LIST'!N:N="GSOT ONLY05EY")),"")</f>
        <v/>
      </c>
      <c r="C19" s="119"/>
      <c r="D19" s="119"/>
      <c r="E19" s="119"/>
      <c r="F19" s="123"/>
      <c r="G19" s="123"/>
      <c r="H19" s="185"/>
      <c r="I19" s="139"/>
      <c r="J19" s="139"/>
      <c r="K19" s="120"/>
      <c r="L19" s="31"/>
      <c r="M19" s="17"/>
      <c r="N19" s="9"/>
      <c r="O19" s="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20"/>
      <c r="L20" s="31"/>
      <c r="M20" s="17"/>
      <c r="N20" s="9"/>
      <c r="O20" s="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17"/>
      <c r="N21" s="9"/>
      <c r="O21" s="9"/>
    </row>
    <row r="22" spans="1:15" ht="30" customHeight="1" x14ac:dyDescent="0.2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19"/>
      <c r="L22" s="123"/>
      <c r="M22" s="17"/>
      <c r="N22" s="9"/>
      <c r="O22" s="9"/>
    </row>
    <row r="23" spans="1:15" ht="30" customHeight="1" x14ac:dyDescent="0.2">
      <c r="A23" s="25" t="str">
        <f t="shared" si="0"/>
        <v/>
      </c>
      <c r="B23" s="28"/>
      <c r="C23" s="119"/>
      <c r="D23" s="119"/>
      <c r="E23" s="119"/>
      <c r="F23" s="123"/>
      <c r="G23" s="123"/>
      <c r="H23" s="131"/>
      <c r="I23" s="139"/>
      <c r="J23" s="139"/>
      <c r="K23" s="170"/>
      <c r="L23" s="124"/>
      <c r="M23" s="17"/>
      <c r="N23" s="9"/>
      <c r="O23" s="9"/>
    </row>
    <row r="24" spans="1:15" ht="30" customHeight="1" x14ac:dyDescent="0.2">
      <c r="A24" s="25" t="str">
        <f t="shared" si="0"/>
        <v/>
      </c>
      <c r="B24" s="28"/>
      <c r="C24" s="119"/>
      <c r="D24" s="119"/>
      <c r="E24" s="119"/>
      <c r="F24" s="123"/>
      <c r="G24" s="123"/>
      <c r="H24" s="131"/>
      <c r="I24" s="139"/>
      <c r="J24" s="139"/>
      <c r="K24" s="170"/>
      <c r="L24" s="124"/>
      <c r="M24" s="17"/>
      <c r="N24" s="9"/>
      <c r="O24" s="9"/>
    </row>
    <row r="25" spans="1:15" ht="30" customHeight="1" x14ac:dyDescent="0.2">
      <c r="A25" s="25" t="str">
        <f t="shared" si="0"/>
        <v/>
      </c>
      <c r="B25" s="28"/>
      <c r="C25" s="119"/>
      <c r="D25" s="119"/>
      <c r="E25" s="119"/>
      <c r="F25" s="123"/>
      <c r="G25" s="123"/>
      <c r="H25" s="131"/>
      <c r="I25" s="139"/>
      <c r="J25" s="139"/>
      <c r="K25" s="170"/>
      <c r="L25" s="124"/>
      <c r="M25" s="17"/>
      <c r="N25" s="9"/>
      <c r="O25" s="9"/>
    </row>
    <row r="26" spans="1:15" ht="30" customHeight="1" x14ac:dyDescent="0.2">
      <c r="A26" s="25" t="str">
        <f t="shared" si="0"/>
        <v/>
      </c>
      <c r="B26" s="28"/>
      <c r="C26" s="119"/>
      <c r="D26" s="119"/>
      <c r="E26" s="119"/>
      <c r="F26" s="123"/>
      <c r="G26" s="123"/>
      <c r="H26" s="131"/>
      <c r="I26" s="139"/>
      <c r="J26" s="139"/>
      <c r="K26" s="120"/>
      <c r="L26" s="124"/>
      <c r="M26" s="17"/>
      <c r="N26" s="9"/>
      <c r="O26" s="9"/>
    </row>
    <row r="27" spans="1:15" ht="30" customHeight="1" x14ac:dyDescent="0.2">
      <c r="A27" s="25" t="str">
        <f t="shared" si="0"/>
        <v/>
      </c>
      <c r="B27" s="28"/>
      <c r="C27" s="119"/>
      <c r="D27" s="119"/>
      <c r="E27" s="119"/>
      <c r="F27" s="123"/>
      <c r="G27" s="123"/>
      <c r="H27" s="131"/>
      <c r="I27" s="139"/>
      <c r="J27" s="139"/>
      <c r="K27" s="120"/>
      <c r="L27" s="124"/>
      <c r="M27" s="17"/>
      <c r="N27" s="9"/>
      <c r="O27" s="9"/>
    </row>
    <row r="28" spans="1:15" ht="30" customHeight="1" x14ac:dyDescent="0.2">
      <c r="A28" s="25" t="str">
        <f t="shared" si="0"/>
        <v/>
      </c>
      <c r="B28" s="28"/>
      <c r="C28" s="119"/>
      <c r="D28" s="119"/>
      <c r="E28" s="119"/>
      <c r="F28" s="123"/>
      <c r="G28" s="123"/>
      <c r="H28" s="131"/>
      <c r="I28" s="139"/>
      <c r="J28" s="139"/>
      <c r="K28" s="120"/>
      <c r="L28" s="124"/>
      <c r="M28" s="17"/>
      <c r="N28" s="9"/>
      <c r="O28" s="9"/>
    </row>
    <row r="29" spans="1:15" ht="30" customHeight="1" x14ac:dyDescent="0.2">
      <c r="A29" s="25" t="str">
        <f t="shared" si="0"/>
        <v/>
      </c>
      <c r="B29" s="28"/>
      <c r="C29" s="119"/>
      <c r="D29" s="119"/>
      <c r="E29" s="119"/>
      <c r="F29" s="123"/>
      <c r="G29" s="123"/>
      <c r="H29" s="131"/>
      <c r="I29" s="139"/>
      <c r="J29" s="139"/>
      <c r="K29" s="120"/>
      <c r="L29" s="124"/>
      <c r="M29" s="17"/>
      <c r="N29" s="9"/>
      <c r="O29" s="9"/>
    </row>
    <row r="30" spans="1:15" ht="30" customHeight="1" x14ac:dyDescent="0.2">
      <c r="A30" s="25" t="str">
        <f t="shared" si="0"/>
        <v/>
      </c>
      <c r="B30" s="28"/>
      <c r="C30" s="119"/>
      <c r="D30" s="119"/>
      <c r="E30" s="119"/>
      <c r="F30" s="123"/>
      <c r="G30" s="123"/>
      <c r="H30" s="131"/>
      <c r="I30" s="139"/>
      <c r="J30" s="139"/>
      <c r="K30" s="120"/>
      <c r="L30" s="124"/>
      <c r="M30" s="17"/>
      <c r="N30" s="9"/>
      <c r="O30" s="9"/>
    </row>
    <row r="31" spans="1:15" ht="30" customHeight="1" x14ac:dyDescent="0.2">
      <c r="A31" s="25" t="str">
        <f t="shared" si="0"/>
        <v/>
      </c>
      <c r="B31" s="28"/>
      <c r="C31" s="119"/>
      <c r="D31" s="119"/>
      <c r="E31" s="119"/>
      <c r="F31" s="123"/>
      <c r="G31" s="123"/>
      <c r="H31" s="131"/>
      <c r="I31" s="139"/>
      <c r="J31" s="139"/>
      <c r="K31" s="120"/>
      <c r="L31" s="124"/>
      <c r="M31" s="17"/>
      <c r="N31" s="9"/>
      <c r="O31" s="9"/>
    </row>
    <row r="32" spans="1:15" ht="30" customHeight="1" x14ac:dyDescent="0.2">
      <c r="A32" s="25" t="str">
        <f t="shared" si="0"/>
        <v/>
      </c>
      <c r="B32" s="28"/>
      <c r="C32" s="119"/>
      <c r="D32" s="119"/>
      <c r="E32" s="119"/>
      <c r="F32" s="123"/>
      <c r="G32" s="123"/>
      <c r="H32" s="131"/>
      <c r="I32" s="139"/>
      <c r="J32" s="139"/>
      <c r="K32" s="120"/>
      <c r="L32" s="31"/>
      <c r="M32" s="17"/>
      <c r="N32" s="9"/>
      <c r="O32" s="9"/>
    </row>
    <row r="33" spans="1:15" ht="30" customHeight="1" x14ac:dyDescent="0.2">
      <c r="A33" s="25" t="str">
        <f t="shared" si="0"/>
        <v/>
      </c>
      <c r="B33" s="28"/>
      <c r="C33" s="119"/>
      <c r="D33" s="119"/>
      <c r="E33" s="119"/>
      <c r="F33" s="123"/>
      <c r="G33" s="123"/>
      <c r="H33" s="131"/>
      <c r="I33" s="139"/>
      <c r="J33" s="139"/>
      <c r="K33" s="120"/>
      <c r="L33" s="31"/>
      <c r="M33" s="17"/>
      <c r="N33" s="9"/>
      <c r="O33" s="9"/>
    </row>
    <row r="34" spans="1:15" ht="30" customHeight="1" x14ac:dyDescent="0.2">
      <c r="A34" s="25" t="str">
        <f t="shared" si="0"/>
        <v/>
      </c>
      <c r="B34" s="28"/>
      <c r="C34" s="119"/>
      <c r="D34" s="119"/>
      <c r="E34" s="119"/>
      <c r="F34" s="123"/>
      <c r="G34" s="123"/>
      <c r="H34" s="131"/>
      <c r="I34" s="139"/>
      <c r="J34" s="139"/>
      <c r="K34" s="120"/>
      <c r="L34" s="124"/>
      <c r="M34" s="17"/>
      <c r="N34" s="9"/>
      <c r="O34" s="9"/>
    </row>
    <row r="35" spans="1:15" ht="30" customHeight="1" x14ac:dyDescent="0.2">
      <c r="A35" s="25" t="str">
        <f t="shared" si="0"/>
        <v/>
      </c>
      <c r="B35" s="28"/>
      <c r="C35" s="119"/>
      <c r="D35" s="119"/>
      <c r="E35" s="119"/>
      <c r="F35" s="123"/>
      <c r="G35" s="123"/>
      <c r="H35" s="131"/>
      <c r="I35" s="139"/>
      <c r="J35" s="139"/>
      <c r="K35" s="120"/>
      <c r="L35" s="124"/>
      <c r="M35" s="17"/>
      <c r="N35" s="9"/>
      <c r="O35" s="9"/>
    </row>
    <row r="36" spans="1:15" ht="30" customHeight="1" x14ac:dyDescent="0.2">
      <c r="A36" s="25" t="str">
        <f t="shared" si="0"/>
        <v/>
      </c>
      <c r="B36" s="28"/>
      <c r="C36" s="119"/>
      <c r="D36" s="119"/>
      <c r="E36" s="119"/>
      <c r="F36" s="123"/>
      <c r="G36" s="123"/>
      <c r="H36" s="131"/>
      <c r="I36" s="139"/>
      <c r="J36" s="139"/>
      <c r="K36" s="120"/>
      <c r="L36" s="31"/>
      <c r="M36" s="17"/>
      <c r="N36" s="9"/>
      <c r="O36" s="9"/>
    </row>
    <row r="37" spans="1:15" ht="30" customHeight="1" x14ac:dyDescent="0.2">
      <c r="A37" s="25" t="str">
        <f t="shared" si="0"/>
        <v/>
      </c>
      <c r="B37" s="28"/>
      <c r="C37" s="119"/>
      <c r="D37" s="119"/>
      <c r="E37" s="119"/>
      <c r="F37" s="123"/>
      <c r="G37" s="123"/>
      <c r="H37" s="131"/>
      <c r="I37" s="139"/>
      <c r="J37" s="139"/>
      <c r="K37" s="120"/>
      <c r="L37" s="31"/>
      <c r="M37" s="17"/>
      <c r="N37" s="9"/>
      <c r="O37" s="9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17"/>
      <c r="N38" s="9"/>
      <c r="O38" s="9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19"/>
      <c r="D39" s="119"/>
      <c r="E39" s="119"/>
      <c r="F39" s="123"/>
      <c r="G39" s="123"/>
      <c r="H39" s="131"/>
      <c r="I39" s="139"/>
      <c r="J39" s="139"/>
      <c r="K39" s="120"/>
      <c r="L39" s="31"/>
      <c r="M39" s="17"/>
      <c r="N39" s="9"/>
      <c r="O39" s="9"/>
    </row>
    <row r="40" spans="1:15" ht="30" customHeight="1" x14ac:dyDescent="0.2">
      <c r="A40" s="25" t="str">
        <f t="shared" si="1"/>
        <v/>
      </c>
      <c r="B40" s="28"/>
      <c r="C40" s="119"/>
      <c r="D40" s="119"/>
      <c r="E40" s="119"/>
      <c r="F40" s="123"/>
      <c r="G40" s="123"/>
      <c r="H40" s="131"/>
      <c r="I40" s="139"/>
      <c r="J40" s="139"/>
      <c r="K40" s="120"/>
      <c r="L40" s="31"/>
      <c r="M40" s="17"/>
      <c r="N40" s="9"/>
      <c r="O40" s="9"/>
    </row>
    <row r="41" spans="1:15" ht="30" customHeight="1" x14ac:dyDescent="0.2">
      <c r="A41" s="25" t="str">
        <f t="shared" si="1"/>
        <v/>
      </c>
      <c r="B41" s="28"/>
      <c r="C41" s="119"/>
      <c r="D41" s="119"/>
      <c r="E41" s="119"/>
      <c r="F41" s="123"/>
      <c r="G41" s="123"/>
      <c r="H41" s="131"/>
      <c r="I41" s="139"/>
      <c r="J41" s="139"/>
      <c r="K41" s="120"/>
      <c r="L41" s="124"/>
      <c r="M41" s="17"/>
      <c r="N41" s="9"/>
      <c r="O41" s="9"/>
    </row>
    <row r="42" spans="1:15" ht="30" customHeight="1" x14ac:dyDescent="0.2">
      <c r="A42" s="25" t="str">
        <f t="shared" si="1"/>
        <v/>
      </c>
      <c r="B42" s="28"/>
      <c r="C42" s="119"/>
      <c r="D42" s="119"/>
      <c r="E42" s="119"/>
      <c r="F42" s="123"/>
      <c r="G42" s="123"/>
      <c r="H42" s="131"/>
      <c r="I42" s="139"/>
      <c r="J42" s="139"/>
      <c r="K42" s="120"/>
      <c r="L42" s="124"/>
      <c r="M42" s="17"/>
      <c r="N42" s="9"/>
      <c r="O42" s="9"/>
    </row>
    <row r="43" spans="1:15" ht="30" customHeight="1" x14ac:dyDescent="0.2">
      <c r="A43" s="25" t="str">
        <f t="shared" si="1"/>
        <v/>
      </c>
      <c r="B43" s="28"/>
      <c r="C43" s="119"/>
      <c r="D43" s="119"/>
      <c r="E43" s="119"/>
      <c r="F43" s="123"/>
      <c r="G43" s="123"/>
      <c r="H43" s="131"/>
      <c r="I43" s="139"/>
      <c r="J43" s="139"/>
      <c r="K43" s="120"/>
      <c r="L43" s="31"/>
      <c r="M43" s="17"/>
      <c r="N43" s="9"/>
      <c r="O43" s="9"/>
    </row>
    <row r="44" spans="1:15" ht="30" customHeight="1" x14ac:dyDescent="0.2">
      <c r="A44" s="25" t="str">
        <f t="shared" si="1"/>
        <v/>
      </c>
      <c r="B44" s="28"/>
      <c r="C44" s="119"/>
      <c r="D44" s="119"/>
      <c r="E44" s="119"/>
      <c r="F44" s="123"/>
      <c r="G44" s="123"/>
      <c r="H44" s="131"/>
      <c r="I44" s="139"/>
      <c r="J44" s="139"/>
      <c r="K44" s="120"/>
      <c r="L44" s="31"/>
      <c r="M44" s="17"/>
      <c r="N44" s="9"/>
      <c r="O44" s="9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17"/>
      <c r="N45" s="9"/>
      <c r="O45" s="9"/>
    </row>
  </sheetData>
  <mergeCells count="26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8:L8"/>
    <mergeCell ref="G9:L9"/>
    <mergeCell ref="G10:L10"/>
    <mergeCell ref="G12:L12"/>
    <mergeCell ref="G13:L13"/>
    <mergeCell ref="G14:L14"/>
    <mergeCell ref="G15:L15"/>
    <mergeCell ref="G16:L16"/>
    <mergeCell ref="A1:L1"/>
    <mergeCell ref="A2:D2"/>
    <mergeCell ref="A3:D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92D050"/>
    <pageSetUpPr fitToPage="1"/>
  </sheetPr>
  <dimension ref="A1:P45"/>
  <sheetViews>
    <sheetView showZeros="0" zoomScale="70" zoomScaleNormal="70" workbookViewId="0">
      <selection activeCell="A3" sqref="A3:I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164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266</v>
      </c>
      <c r="B3" s="249"/>
      <c r="C3" s="249"/>
      <c r="D3" s="249"/>
      <c r="E3" s="249"/>
      <c r="F3" s="249"/>
      <c r="G3" s="249"/>
      <c r="H3" s="249"/>
      <c r="I3" s="249"/>
      <c r="J3" s="10"/>
      <c r="K3" s="252" t="s">
        <v>158</v>
      </c>
      <c r="L3" s="249"/>
    </row>
    <row r="4" spans="1:12" ht="20" x14ac:dyDescent="0.25">
      <c r="A4" s="330" t="s">
        <v>200</v>
      </c>
      <c r="B4" s="249"/>
      <c r="C4" s="249"/>
      <c r="D4" s="35"/>
      <c r="E4" s="12"/>
      <c r="F4" s="13"/>
      <c r="G4" s="13"/>
      <c r="H4" s="13"/>
      <c r="I4" s="12"/>
      <c r="J4" s="14"/>
      <c r="K4" s="249"/>
      <c r="L4" s="249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23"/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26"/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26"/>
      <c r="H9" s="244"/>
      <c r="I9" s="244"/>
      <c r="J9" s="244"/>
      <c r="K9" s="244"/>
      <c r="L9" s="245"/>
    </row>
    <row r="10" spans="1:12" ht="18" customHeight="1" x14ac:dyDescent="0.2">
      <c r="A10" s="246"/>
      <c r="B10" s="244"/>
      <c r="C10" s="244"/>
      <c r="D10" s="244"/>
      <c r="E10" s="244"/>
      <c r="F10" s="245"/>
      <c r="G10" s="76"/>
      <c r="H10" s="77"/>
      <c r="I10" s="77"/>
      <c r="J10" s="77"/>
      <c r="K10" s="77"/>
      <c r="L10" s="78"/>
    </row>
    <row r="11" spans="1:12" ht="18" customHeight="1" x14ac:dyDescent="0.2">
      <c r="A11" s="255"/>
      <c r="B11" s="256"/>
      <c r="C11" s="256"/>
      <c r="D11" s="256"/>
      <c r="E11" s="256"/>
      <c r="F11" s="257"/>
      <c r="G11" s="20"/>
      <c r="H11" s="21"/>
      <c r="I11" s="21"/>
      <c r="J11" s="21"/>
      <c r="K11" s="21"/>
      <c r="L11" s="22"/>
    </row>
    <row r="12" spans="1:12" ht="18" customHeight="1" x14ac:dyDescent="0.2">
      <c r="A12" s="261" t="s">
        <v>187</v>
      </c>
      <c r="B12" s="240"/>
      <c r="C12" s="240"/>
      <c r="D12" s="240"/>
      <c r="E12" s="240"/>
      <c r="F12" s="241"/>
      <c r="G12" s="239" t="s">
        <v>128</v>
      </c>
      <c r="H12" s="240"/>
      <c r="I12" s="240"/>
      <c r="J12" s="240"/>
      <c r="K12" s="240"/>
      <c r="L12" s="241"/>
    </row>
    <row r="13" spans="1:12" ht="18" customHeight="1" x14ac:dyDescent="0.2">
      <c r="A13" s="262" t="s">
        <v>201</v>
      </c>
      <c r="B13" s="244"/>
      <c r="C13" s="244"/>
      <c r="D13" s="244"/>
      <c r="E13" s="244"/>
      <c r="F13" s="245"/>
      <c r="G13" s="260" t="s">
        <v>202</v>
      </c>
      <c r="H13" s="244"/>
      <c r="I13" s="244"/>
      <c r="J13" s="244"/>
      <c r="K13" s="244"/>
      <c r="L13" s="245"/>
    </row>
    <row r="14" spans="1:12" ht="18" customHeight="1" x14ac:dyDescent="0.2">
      <c r="A14" s="262" t="s">
        <v>161</v>
      </c>
      <c r="B14" s="244"/>
      <c r="C14" s="244"/>
      <c r="D14" s="244"/>
      <c r="E14" s="244"/>
      <c r="F14" s="245"/>
      <c r="G14" s="260" t="s">
        <v>167</v>
      </c>
      <c r="H14" s="244"/>
      <c r="I14" s="244"/>
      <c r="J14" s="244"/>
      <c r="K14" s="244"/>
      <c r="L14" s="245"/>
    </row>
    <row r="15" spans="1:12" ht="18" customHeight="1" x14ac:dyDescent="0.2">
      <c r="A15" s="76"/>
      <c r="B15" s="77"/>
      <c r="C15" s="77"/>
      <c r="D15" s="77"/>
      <c r="E15" s="77"/>
      <c r="F15" s="78"/>
      <c r="G15" s="254"/>
      <c r="H15" s="244"/>
      <c r="I15" s="244"/>
      <c r="J15" s="244"/>
      <c r="K15" s="244"/>
      <c r="L15" s="245"/>
    </row>
    <row r="16" spans="1:12" ht="18" customHeight="1" x14ac:dyDescent="0.2">
      <c r="A16" s="20"/>
      <c r="B16" s="21"/>
      <c r="C16" s="21"/>
      <c r="D16" s="21"/>
      <c r="E16" s="21"/>
      <c r="F16" s="22"/>
      <c r="G16" s="255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SPLITALLN")+('TITLE LIST'!N:N="GMAND SPLITALLN")+('TITLE LIST'!N:N="ASOT ONLYALLN")+('TITLE LIST'!N:N="GSOT ONLYALLN")+('TITLE LIST'!N:N="AENG SPLIT05FN")+('TITLE LIST'!N:N="GMAND SPLIT05FN")+('TITLE LIST'!N:N="ASOT ONLY05FN")+('TITLE LIST'!N:N="GSOT ONLY05FN")+('TITLE LIST'!N:N="GMAND SPLITALLY")+('TITLE LIST'!N:N="GSOT ONLYALLY")+('TITLE LIST'!N:N="GMAND SPLIT05FY")+('TITLE LIST'!N:N="GSOT ONLY05FY")),"")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4">
    <mergeCell ref="D18:E18"/>
    <mergeCell ref="A11:F11"/>
    <mergeCell ref="A12:F12"/>
    <mergeCell ref="G12:L12"/>
    <mergeCell ref="A13:F13"/>
    <mergeCell ref="G13:L13"/>
    <mergeCell ref="A14:F14"/>
    <mergeCell ref="G14:L14"/>
    <mergeCell ref="A9:F9"/>
    <mergeCell ref="G9:L9"/>
    <mergeCell ref="A10:F10"/>
    <mergeCell ref="G15:L15"/>
    <mergeCell ref="G16:L16"/>
    <mergeCell ref="A5:D5"/>
    <mergeCell ref="A7:F7"/>
    <mergeCell ref="G7:L7"/>
    <mergeCell ref="A8:F8"/>
    <mergeCell ref="G8:L8"/>
    <mergeCell ref="A6:C6"/>
    <mergeCell ref="A1:L1"/>
    <mergeCell ref="A2:D2"/>
    <mergeCell ref="A3:I3"/>
    <mergeCell ref="K3:L4"/>
    <mergeCell ref="A4:C4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92D050"/>
    <pageSetUpPr fitToPage="1"/>
  </sheetPr>
  <dimension ref="A1:P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169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267</v>
      </c>
      <c r="B3" s="249"/>
      <c r="C3" s="249"/>
      <c r="D3" s="249"/>
      <c r="E3" s="249"/>
      <c r="F3" s="249"/>
      <c r="G3" s="7"/>
      <c r="H3" s="7"/>
      <c r="I3" s="8"/>
      <c r="J3" s="10"/>
      <c r="K3" s="10"/>
      <c r="L3" s="10"/>
    </row>
    <row r="4" spans="1:12" ht="20" x14ac:dyDescent="0.25">
      <c r="A4" s="330" t="s">
        <v>203</v>
      </c>
      <c r="B4" s="249"/>
      <c r="C4" s="249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18"/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82"/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82"/>
      <c r="H9" s="244"/>
      <c r="I9" s="244"/>
      <c r="J9" s="244"/>
      <c r="K9" s="244"/>
      <c r="L9" s="245"/>
    </row>
    <row r="10" spans="1:12" ht="18" customHeight="1" x14ac:dyDescent="0.2">
      <c r="A10" s="325"/>
      <c r="B10" s="244"/>
      <c r="C10" s="244"/>
      <c r="D10" s="244"/>
      <c r="E10" s="244"/>
      <c r="F10" s="245"/>
      <c r="G10" s="325"/>
      <c r="H10" s="244"/>
      <c r="I10" s="244"/>
      <c r="J10" s="244"/>
      <c r="K10" s="244"/>
      <c r="L10" s="245"/>
    </row>
    <row r="11" spans="1:12" ht="18" customHeight="1" x14ac:dyDescent="0.2">
      <c r="A11" s="324"/>
      <c r="B11" s="256"/>
      <c r="C11" s="256"/>
      <c r="D11" s="256"/>
      <c r="E11" s="256"/>
      <c r="F11" s="257"/>
      <c r="G11" s="324"/>
      <c r="H11" s="256"/>
      <c r="I11" s="256"/>
      <c r="J11" s="256"/>
      <c r="K11" s="256"/>
      <c r="L11" s="257"/>
    </row>
    <row r="12" spans="1:12" ht="18" customHeight="1" x14ac:dyDescent="0.2">
      <c r="A12" s="261" t="s">
        <v>159</v>
      </c>
      <c r="B12" s="240"/>
      <c r="C12" s="240"/>
      <c r="D12" s="240"/>
      <c r="E12" s="240"/>
      <c r="F12" s="241"/>
      <c r="G12" s="239" t="s">
        <v>12</v>
      </c>
      <c r="H12" s="240"/>
      <c r="I12" s="240"/>
      <c r="J12" s="240"/>
      <c r="K12" s="240"/>
      <c r="L12" s="241"/>
    </row>
    <row r="13" spans="1:12" ht="18" customHeight="1" x14ac:dyDescent="0.2">
      <c r="A13" s="262" t="s">
        <v>178</v>
      </c>
      <c r="B13" s="244"/>
      <c r="C13" s="244"/>
      <c r="D13" s="244"/>
      <c r="E13" s="244"/>
      <c r="F13" s="245"/>
      <c r="G13" s="260" t="s">
        <v>178</v>
      </c>
      <c r="H13" s="244"/>
      <c r="I13" s="244"/>
      <c r="J13" s="244"/>
      <c r="K13" s="244"/>
      <c r="L13" s="245"/>
    </row>
    <row r="14" spans="1:12" ht="18" customHeight="1" x14ac:dyDescent="0.2">
      <c r="A14" s="262" t="s">
        <v>161</v>
      </c>
      <c r="B14" s="244"/>
      <c r="C14" s="244"/>
      <c r="D14" s="244"/>
      <c r="E14" s="244"/>
      <c r="F14" s="245"/>
      <c r="G14" s="260" t="s">
        <v>167</v>
      </c>
      <c r="H14" s="244"/>
      <c r="I14" s="244"/>
      <c r="J14" s="244"/>
      <c r="K14" s="244"/>
      <c r="L14" s="245"/>
    </row>
    <row r="15" spans="1:12" ht="18" customHeight="1" x14ac:dyDescent="0.2">
      <c r="A15" s="325"/>
      <c r="B15" s="244"/>
      <c r="C15" s="244"/>
      <c r="D15" s="244"/>
      <c r="E15" s="244"/>
      <c r="F15" s="245"/>
      <c r="G15" s="325"/>
      <c r="H15" s="244"/>
      <c r="I15" s="244"/>
      <c r="J15" s="244"/>
      <c r="K15" s="244"/>
      <c r="L15" s="245"/>
    </row>
    <row r="16" spans="1:12" ht="18" customHeight="1" x14ac:dyDescent="0.2">
      <c r="A16" s="324"/>
      <c r="B16" s="256"/>
      <c r="C16" s="256"/>
      <c r="D16" s="256"/>
      <c r="E16" s="256"/>
      <c r="F16" s="257"/>
      <c r="G16" s="324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FM05GN")+('TITLE LIST'!N:N="GENG FM05GN")+('TITLE LIST'!N:N="ASOT ONLY05GN")+('TITLE LIST'!N:N="GSOT ONLY05GN")+('TITLE LIST'!N:N="GENG FMALLY")+('TITLE LIST'!N:N="GSOT ONLYALLY")+('TITLE LIST'!N:N="GENG FM05GY")+('TITLE LIST'!N:N="GSOT ONLY05GY")),"")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00B0F0"/>
    <pageSetUpPr fitToPage="1"/>
  </sheetPr>
  <dimension ref="A1:P45"/>
  <sheetViews>
    <sheetView showZeros="0" zoomScale="70" zoomScaleNormal="70" workbookViewId="0">
      <selection activeCell="A3" sqref="A3:D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13.5" hidden="1" customWidth="1"/>
    <col min="17" max="18" width="13.5" customWidth="1"/>
    <col min="19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204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268</v>
      </c>
      <c r="B3" s="249"/>
      <c r="C3" s="249"/>
      <c r="D3" s="249"/>
      <c r="E3" s="17"/>
      <c r="F3" s="7"/>
      <c r="G3" s="7"/>
      <c r="H3" s="7"/>
      <c r="I3" s="8"/>
      <c r="J3" s="10"/>
      <c r="K3" s="10"/>
      <c r="L3" s="10"/>
    </row>
    <row r="4" spans="1:12" ht="20" x14ac:dyDescent="0.25">
      <c r="A4" s="384" t="s">
        <v>205</v>
      </c>
      <c r="B4" s="249"/>
      <c r="C4" s="249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23" t="s">
        <v>131</v>
      </c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26" t="s">
        <v>206</v>
      </c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83" t="s">
        <v>207</v>
      </c>
      <c r="H9" s="244"/>
      <c r="I9" s="244"/>
      <c r="J9" s="244"/>
      <c r="K9" s="244"/>
      <c r="L9" s="245"/>
    </row>
    <row r="10" spans="1:12" ht="18" customHeight="1" x14ac:dyDescent="0.2">
      <c r="A10" s="246"/>
      <c r="B10" s="244"/>
      <c r="C10" s="244"/>
      <c r="D10" s="244"/>
      <c r="E10" s="244"/>
      <c r="F10" s="245"/>
      <c r="G10" s="76"/>
      <c r="H10" s="77"/>
      <c r="I10" s="77"/>
      <c r="J10" s="77"/>
      <c r="K10" s="77"/>
      <c r="L10" s="78"/>
    </row>
    <row r="11" spans="1:12" ht="18" customHeight="1" x14ac:dyDescent="0.2">
      <c r="A11" s="255"/>
      <c r="B11" s="256"/>
      <c r="C11" s="256"/>
      <c r="D11" s="256"/>
      <c r="E11" s="256"/>
      <c r="F11" s="257"/>
      <c r="G11" s="20"/>
      <c r="H11" s="21"/>
      <c r="I11" s="21"/>
      <c r="J11" s="21"/>
      <c r="K11" s="21"/>
      <c r="L11" s="22"/>
    </row>
    <row r="12" spans="1:12" ht="18" customHeight="1" x14ac:dyDescent="0.2">
      <c r="A12" s="261" t="s">
        <v>187</v>
      </c>
      <c r="B12" s="240"/>
      <c r="C12" s="240"/>
      <c r="D12" s="240"/>
      <c r="E12" s="240"/>
      <c r="F12" s="241"/>
      <c r="G12" s="32"/>
      <c r="H12" s="33"/>
      <c r="I12" s="33"/>
      <c r="J12" s="33"/>
      <c r="K12" s="33"/>
      <c r="L12" s="34"/>
    </row>
    <row r="13" spans="1:12" ht="18" customHeight="1" x14ac:dyDescent="0.2">
      <c r="A13" s="262" t="s">
        <v>208</v>
      </c>
      <c r="B13" s="244"/>
      <c r="C13" s="244"/>
      <c r="D13" s="244"/>
      <c r="E13" s="244"/>
      <c r="F13" s="245"/>
      <c r="G13" s="76"/>
      <c r="H13" s="77"/>
      <c r="I13" s="77"/>
      <c r="J13" s="77"/>
      <c r="K13" s="77"/>
      <c r="L13" s="78"/>
    </row>
    <row r="14" spans="1:12" ht="18" customHeight="1" x14ac:dyDescent="0.2">
      <c r="A14" s="262" t="s">
        <v>209</v>
      </c>
      <c r="B14" s="244"/>
      <c r="C14" s="244"/>
      <c r="D14" s="244"/>
      <c r="E14" s="244"/>
      <c r="F14" s="245"/>
      <c r="G14" s="76"/>
      <c r="H14" s="77"/>
      <c r="I14" s="77"/>
      <c r="J14" s="77"/>
      <c r="K14" s="77"/>
      <c r="L14" s="78"/>
    </row>
    <row r="15" spans="1:12" ht="15" customHeight="1" x14ac:dyDescent="0.2">
      <c r="A15" s="246"/>
      <c r="B15" s="244"/>
      <c r="C15" s="244"/>
      <c r="D15" s="244"/>
      <c r="E15" s="244"/>
      <c r="F15" s="245"/>
      <c r="G15" s="76"/>
      <c r="H15" s="77"/>
      <c r="I15" s="77"/>
      <c r="J15" s="77"/>
      <c r="K15" s="77"/>
      <c r="L15" s="78"/>
    </row>
    <row r="16" spans="1:12" ht="15" customHeight="1" thickBot="1" x14ac:dyDescent="0.25">
      <c r="A16" s="255"/>
      <c r="B16" s="256"/>
      <c r="C16" s="256"/>
      <c r="D16" s="256"/>
      <c r="E16" s="256"/>
      <c r="F16" s="257"/>
      <c r="G16" s="20"/>
      <c r="H16" s="21"/>
      <c r="I16" s="21"/>
      <c r="J16" s="21"/>
      <c r="K16" s="21"/>
      <c r="L16" s="22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17"/>
      <c r="N18" s="9"/>
      <c r="O18" s="9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LIST'!N:N="ABI FMALLN")+('TITLE LIST'!N:N="OBI FMALLN")+('TITLE LIST'!N:N="ASOT ONLYALLN")+('TITLE LIST'!N:N="OSOT ONLYALLN")+('TITLE LIST'!N:N="AENG FM06AN")+('TITLE LIST'!N:N="ABI FM06AN")+('TITLE LIST'!N:N="OBI FM06AN")+('TITLE LIST'!N:N="ASOT ONLY06AN")+('TITLE LIST'!N:N="OSOT ONLY06AN")),"")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17"/>
      <c r="N19" s="9"/>
      <c r="O19" s="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17"/>
      <c r="N20" s="9"/>
      <c r="O20" s="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20"/>
      <c r="L21" s="31"/>
      <c r="M21" s="17"/>
      <c r="N21" s="9"/>
      <c r="O21" s="9"/>
    </row>
    <row r="22" spans="1:15" ht="30" customHeight="1" x14ac:dyDescent="0.2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20"/>
      <c r="L22" s="31"/>
      <c r="M22" s="17"/>
      <c r="N22" s="9"/>
      <c r="O22" s="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17"/>
      <c r="N23" s="9"/>
      <c r="O23" s="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17"/>
      <c r="N24" s="9"/>
      <c r="O24" s="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17"/>
      <c r="N25" s="9"/>
      <c r="O25" s="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17"/>
      <c r="N26" s="9"/>
      <c r="O26" s="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17"/>
      <c r="N27" s="9"/>
      <c r="O27" s="9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17"/>
      <c r="N28" s="9"/>
      <c r="O28" s="9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17"/>
      <c r="N29" s="9"/>
      <c r="O29" s="9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17"/>
      <c r="N30" s="9"/>
      <c r="O30" s="9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17"/>
      <c r="N31" s="9"/>
      <c r="O31" s="9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17"/>
      <c r="N32" s="9"/>
      <c r="O32" s="9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17"/>
      <c r="N33" s="9"/>
      <c r="O33" s="9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17"/>
      <c r="N34" s="9"/>
      <c r="O34" s="9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17"/>
      <c r="N35" s="9"/>
      <c r="O35" s="9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17"/>
      <c r="N36" s="9"/>
      <c r="O36" s="9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17"/>
      <c r="N37" s="9"/>
      <c r="O37" s="9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17"/>
      <c r="N38" s="9"/>
      <c r="O38" s="9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17"/>
      <c r="N39" s="9"/>
      <c r="O39" s="9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17"/>
      <c r="N40" s="9"/>
      <c r="O40" s="9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17"/>
      <c r="N41" s="9"/>
      <c r="O41" s="9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17"/>
      <c r="N42" s="9"/>
      <c r="O42" s="9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17"/>
      <c r="N43" s="9"/>
      <c r="O43" s="9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17"/>
      <c r="N44" s="9"/>
      <c r="O44" s="9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17"/>
      <c r="N45" s="9"/>
      <c r="O45" s="9"/>
    </row>
  </sheetData>
  <mergeCells count="20">
    <mergeCell ref="A14:F14"/>
    <mergeCell ref="D18:E18"/>
    <mergeCell ref="A7:F7"/>
    <mergeCell ref="A8:F8"/>
    <mergeCell ref="A9:F9"/>
    <mergeCell ref="A10:F10"/>
    <mergeCell ref="A11:F11"/>
    <mergeCell ref="A12:F12"/>
    <mergeCell ref="A13:F13"/>
    <mergeCell ref="A15:F15"/>
    <mergeCell ref="A16:F16"/>
    <mergeCell ref="G8:L8"/>
    <mergeCell ref="G9:L9"/>
    <mergeCell ref="A1:L1"/>
    <mergeCell ref="A2:D2"/>
    <mergeCell ref="A3:D3"/>
    <mergeCell ref="A4:C4"/>
    <mergeCell ref="A5:D5"/>
    <mergeCell ref="G7:L7"/>
    <mergeCell ref="A6:C6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00B0F0"/>
    <pageSetUpPr fitToPage="1"/>
  </sheetPr>
  <dimension ref="A1:P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169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269</v>
      </c>
      <c r="B3" s="249"/>
      <c r="C3" s="249"/>
      <c r="D3" s="249"/>
      <c r="E3" s="249"/>
      <c r="F3" s="249"/>
      <c r="G3" s="7"/>
      <c r="H3" s="7"/>
      <c r="I3" s="8"/>
      <c r="J3" s="10"/>
      <c r="K3" s="10"/>
      <c r="L3" s="10"/>
    </row>
    <row r="4" spans="1:12" ht="20" x14ac:dyDescent="0.25">
      <c r="A4" s="330" t="s">
        <v>183</v>
      </c>
      <c r="B4" s="249"/>
      <c r="C4" s="249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351"/>
      <c r="B7" s="332"/>
      <c r="C7" s="332"/>
      <c r="D7" s="332"/>
      <c r="E7" s="332"/>
      <c r="F7" s="333"/>
      <c r="G7" s="331" t="s">
        <v>131</v>
      </c>
      <c r="H7" s="332"/>
      <c r="I7" s="332"/>
      <c r="J7" s="332"/>
      <c r="K7" s="332"/>
      <c r="L7" s="333"/>
    </row>
    <row r="8" spans="1:12" ht="18" customHeight="1" x14ac:dyDescent="0.2">
      <c r="A8" s="352"/>
      <c r="B8" s="344"/>
      <c r="C8" s="344"/>
      <c r="D8" s="344"/>
      <c r="E8" s="344"/>
      <c r="F8" s="345"/>
      <c r="G8" s="349" t="s">
        <v>179</v>
      </c>
      <c r="H8" s="344"/>
      <c r="I8" s="344"/>
      <c r="J8" s="344"/>
      <c r="K8" s="344"/>
      <c r="L8" s="345"/>
    </row>
    <row r="9" spans="1:12" ht="18" customHeight="1" x14ac:dyDescent="0.2">
      <c r="A9" s="352"/>
      <c r="B9" s="344"/>
      <c r="C9" s="344"/>
      <c r="D9" s="344"/>
      <c r="E9" s="344"/>
      <c r="F9" s="345"/>
      <c r="G9" s="349" t="s">
        <v>210</v>
      </c>
      <c r="H9" s="344"/>
      <c r="I9" s="344"/>
      <c r="J9" s="344"/>
      <c r="K9" s="344"/>
      <c r="L9" s="345"/>
    </row>
    <row r="10" spans="1:12" ht="18" customHeight="1" x14ac:dyDescent="0.2">
      <c r="A10" s="352"/>
      <c r="B10" s="344"/>
      <c r="C10" s="344"/>
      <c r="D10" s="344"/>
      <c r="E10" s="344"/>
      <c r="F10" s="345"/>
      <c r="G10" s="349" t="s">
        <v>211</v>
      </c>
      <c r="H10" s="344"/>
      <c r="I10" s="344"/>
      <c r="J10" s="344"/>
      <c r="K10" s="344"/>
      <c r="L10" s="345"/>
    </row>
    <row r="11" spans="1:12" ht="18" customHeight="1" x14ac:dyDescent="0.2">
      <c r="A11" s="388"/>
      <c r="B11" s="347"/>
      <c r="C11" s="347"/>
      <c r="D11" s="347"/>
      <c r="E11" s="347"/>
      <c r="F11" s="348"/>
      <c r="G11" s="387" t="s">
        <v>212</v>
      </c>
      <c r="H11" s="347"/>
      <c r="I11" s="347"/>
      <c r="J11" s="347"/>
      <c r="K11" s="347"/>
      <c r="L11" s="348"/>
    </row>
    <row r="12" spans="1:12" ht="18" customHeight="1" x14ac:dyDescent="0.2">
      <c r="A12" s="354" t="s">
        <v>187</v>
      </c>
      <c r="B12" s="332"/>
      <c r="C12" s="332"/>
      <c r="D12" s="332"/>
      <c r="E12" s="332"/>
      <c r="F12" s="333"/>
      <c r="G12" s="350" t="s">
        <v>128</v>
      </c>
      <c r="H12" s="332"/>
      <c r="I12" s="332"/>
      <c r="J12" s="332"/>
      <c r="K12" s="332"/>
      <c r="L12" s="333"/>
    </row>
    <row r="13" spans="1:12" ht="18" customHeight="1" x14ac:dyDescent="0.2">
      <c r="A13" s="334" t="s">
        <v>161</v>
      </c>
      <c r="B13" s="344"/>
      <c r="C13" s="344"/>
      <c r="D13" s="344"/>
      <c r="E13" s="344"/>
      <c r="F13" s="345"/>
      <c r="G13" s="343" t="s">
        <v>167</v>
      </c>
      <c r="H13" s="344"/>
      <c r="I13" s="344"/>
      <c r="J13" s="344"/>
      <c r="K13" s="344"/>
      <c r="L13" s="345"/>
    </row>
    <row r="14" spans="1:12" ht="18" customHeight="1" x14ac:dyDescent="0.2">
      <c r="A14" s="334" t="s">
        <v>213</v>
      </c>
      <c r="B14" s="344"/>
      <c r="C14" s="344"/>
      <c r="D14" s="344"/>
      <c r="E14" s="344"/>
      <c r="F14" s="345"/>
      <c r="G14" s="343" t="s">
        <v>214</v>
      </c>
      <c r="H14" s="344"/>
      <c r="I14" s="344"/>
      <c r="J14" s="344"/>
      <c r="K14" s="344"/>
      <c r="L14" s="345"/>
    </row>
    <row r="15" spans="1:12" ht="18" customHeight="1" x14ac:dyDescent="0.2">
      <c r="A15" s="334" t="s">
        <v>215</v>
      </c>
      <c r="B15" s="344"/>
      <c r="C15" s="344"/>
      <c r="D15" s="344"/>
      <c r="E15" s="344"/>
      <c r="F15" s="345"/>
      <c r="G15" s="343" t="s">
        <v>216</v>
      </c>
      <c r="H15" s="344"/>
      <c r="I15" s="344"/>
      <c r="J15" s="344"/>
      <c r="K15" s="344"/>
      <c r="L15" s="345"/>
    </row>
    <row r="16" spans="1:12" ht="18" customHeight="1" x14ac:dyDescent="0.2">
      <c r="A16" s="385" t="s">
        <v>212</v>
      </c>
      <c r="B16" s="347"/>
      <c r="C16" s="347"/>
      <c r="D16" s="347"/>
      <c r="E16" s="347"/>
      <c r="F16" s="348"/>
      <c r="G16" s="386" t="s">
        <v>212</v>
      </c>
      <c r="H16" s="347"/>
      <c r="I16" s="347"/>
      <c r="J16" s="347"/>
      <c r="K16" s="347"/>
      <c r="L16" s="348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LIST'!N:N="ABI FMALLN")+('TITLE LIST'!N:N="GENG FMALLN")+('TITLE LIST'!N:N="GBI FMALLN")+('TITLE LIST'!N:N="OENG FMALLN")+('TITLE LIST'!N:N="OBI FMALLN")+('TITLE LIST'!N:N="ASOT ONLYALLN")+('TITLE LIST'!N:N="GSOT ONLYALLN")+('TITLE LIST'!N:N="OSOT ONLYALLN")+('TITLE LIST'!N:N="AENG FM06CN")+('TITLE LIST'!N:N="ABI FM06CN")+('TITLE LIST'!N:N="GENG FM06CN")+('TITLE LIST'!N:N="GBI FM06CN")+('TITLE LIST'!N:N="OENG FM06CN")+('TITLE LIST'!N:N="OBI FM06CN")+('TITLE LIST'!N:N="ASOT ONLY06CN")+('TITLE LIST'!N:N="GSOT ONLY06CN")+('TITLE LIST'!N:N="OSOT ONLY06CN")+('TITLE LIST'!N:N="GENG FMALLY")+('TITLE LIST'!N:N="GBI FMALLY")+('TITLE LIST'!N:N="GSOT ONLYALLY")+('TITLE LIST'!N:N="GENG FM06CY")+('TITLE LIST'!N:N="GBI FM06CY")+('TITLE LIST'!N:N="GSOT ONLY06CY")),"")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20"/>
      <c r="L21" s="31"/>
      <c r="M21" s="29"/>
      <c r="N21" s="29"/>
      <c r="O21" s="29"/>
    </row>
    <row r="22" spans="1:15" ht="30" customHeight="1" x14ac:dyDescent="0.2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00B0F0"/>
    <pageSetUpPr fitToPage="1"/>
  </sheetPr>
  <dimension ref="A1:P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169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270</v>
      </c>
      <c r="B3" s="249"/>
      <c r="C3" s="249"/>
      <c r="D3" s="249"/>
      <c r="E3" s="249"/>
      <c r="F3" s="249"/>
      <c r="G3" s="7"/>
      <c r="H3" s="7"/>
      <c r="I3" s="8"/>
      <c r="J3" s="10"/>
      <c r="K3" s="10"/>
      <c r="L3" s="10"/>
    </row>
    <row r="4" spans="1:12" ht="20" x14ac:dyDescent="0.25">
      <c r="A4" s="330" t="s">
        <v>183</v>
      </c>
      <c r="B4" s="249"/>
      <c r="C4" s="249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23" t="s">
        <v>131</v>
      </c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26" t="s">
        <v>179</v>
      </c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26" t="s">
        <v>217</v>
      </c>
      <c r="H9" s="244"/>
      <c r="I9" s="244"/>
      <c r="J9" s="244"/>
      <c r="K9" s="244"/>
      <c r="L9" s="245"/>
    </row>
    <row r="10" spans="1:12" ht="18" customHeight="1" x14ac:dyDescent="0.2">
      <c r="A10" s="246"/>
      <c r="B10" s="244"/>
      <c r="C10" s="244"/>
      <c r="D10" s="244"/>
      <c r="E10" s="244"/>
      <c r="F10" s="245"/>
      <c r="G10" s="325"/>
      <c r="H10" s="244"/>
      <c r="I10" s="244"/>
      <c r="J10" s="244"/>
      <c r="K10" s="244"/>
      <c r="L10" s="245"/>
    </row>
    <row r="11" spans="1:12" ht="18" customHeight="1" x14ac:dyDescent="0.2">
      <c r="A11" s="255"/>
      <c r="B11" s="256"/>
      <c r="C11" s="256"/>
      <c r="D11" s="256"/>
      <c r="E11" s="256"/>
      <c r="F11" s="257"/>
      <c r="G11" s="324"/>
      <c r="H11" s="256"/>
      <c r="I11" s="256"/>
      <c r="J11" s="256"/>
      <c r="K11" s="256"/>
      <c r="L11" s="257"/>
    </row>
    <row r="12" spans="1:12" ht="18" customHeight="1" x14ac:dyDescent="0.2">
      <c r="A12" s="261" t="s">
        <v>187</v>
      </c>
      <c r="B12" s="240"/>
      <c r="C12" s="240"/>
      <c r="D12" s="240"/>
      <c r="E12" s="240"/>
      <c r="F12" s="241"/>
      <c r="G12" s="239" t="s">
        <v>128</v>
      </c>
      <c r="H12" s="240"/>
      <c r="I12" s="240"/>
      <c r="J12" s="240"/>
      <c r="K12" s="240"/>
      <c r="L12" s="241"/>
    </row>
    <row r="13" spans="1:12" ht="18" customHeight="1" x14ac:dyDescent="0.2">
      <c r="A13" s="262" t="s">
        <v>161</v>
      </c>
      <c r="B13" s="244"/>
      <c r="C13" s="244"/>
      <c r="D13" s="244"/>
      <c r="E13" s="244"/>
      <c r="F13" s="245"/>
      <c r="G13" s="260" t="s">
        <v>167</v>
      </c>
      <c r="H13" s="244"/>
      <c r="I13" s="244"/>
      <c r="J13" s="244"/>
      <c r="K13" s="244"/>
      <c r="L13" s="245"/>
    </row>
    <row r="14" spans="1:12" ht="18" customHeight="1" x14ac:dyDescent="0.2">
      <c r="A14" s="262" t="s">
        <v>215</v>
      </c>
      <c r="B14" s="244"/>
      <c r="C14" s="244"/>
      <c r="D14" s="244"/>
      <c r="E14" s="244"/>
      <c r="F14" s="245"/>
      <c r="G14" s="390" t="s">
        <v>207</v>
      </c>
      <c r="H14" s="244"/>
      <c r="I14" s="244"/>
      <c r="J14" s="244"/>
      <c r="K14" s="244"/>
      <c r="L14" s="245"/>
    </row>
    <row r="15" spans="1:12" ht="18" customHeight="1" x14ac:dyDescent="0.2">
      <c r="A15" s="262"/>
      <c r="B15" s="244"/>
      <c r="C15" s="244"/>
      <c r="D15" s="244"/>
      <c r="E15" s="244"/>
      <c r="F15" s="245"/>
      <c r="G15" s="254"/>
      <c r="H15" s="244"/>
      <c r="I15" s="244"/>
      <c r="J15" s="244"/>
      <c r="K15" s="244"/>
      <c r="L15" s="245"/>
    </row>
    <row r="16" spans="1:12" ht="18" customHeight="1" x14ac:dyDescent="0.2">
      <c r="A16" s="389"/>
      <c r="B16" s="256"/>
      <c r="C16" s="256"/>
      <c r="D16" s="256"/>
      <c r="E16" s="256"/>
      <c r="F16" s="257"/>
      <c r="G16" s="255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LIST'!N:N="ABI FMALLN")+('TITLE LIST'!N:N="GBI FMALLN")+('TITLE LIST'!N:N="OENG FMALLN")+('TITLE LIST'!N:N="OBI FMALLN")+('TITLE LIST'!N:N="ASOT ONLYALLN")+('TITLE LIST'!N:N="GSOT ONLYALLN")+('TITLE LIST'!N:N="OSOT ONLYALLN")+('TITLE LIST'!N:N="AENG FM06DN")+('TITLE LIST'!N:N="ABI FM06DN")+('TITLE LIST'!N:N="GBI FM06DN")+('TITLE LIST'!N:N="OENG FM06DN")+('TITLE LIST'!N:N="OBI FM06DN")+('TITLE LIST'!N:N="ASOT ONLY06DN")+('TITLE LIST'!N:N="GSOT ONLY06DN")+('TITLE LIST'!N:N="OSOT ONLY06DN")+('TITLE LIST'!N:N="GBI FMALLY")+('TITLE LIST'!N:N="GSOT ONLYALLY")+('TITLE LIST'!N:N="GBI FM06DY")+('TITLE LIST'!N:N="GSOT ONLY06DY")),"")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6"/>
      <c r="C23" s="119"/>
      <c r="D23" s="119"/>
      <c r="E23" s="119"/>
      <c r="F23" s="123"/>
      <c r="G23" s="123"/>
      <c r="H23" s="131"/>
      <c r="I23" s="139"/>
      <c r="J23" s="139"/>
      <c r="K23" s="120"/>
      <c r="L23" s="31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B0F0"/>
    <pageSetUpPr fitToPage="1"/>
  </sheetPr>
  <dimension ref="A1:P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169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271</v>
      </c>
      <c r="B3" s="249"/>
      <c r="C3" s="249"/>
      <c r="D3" s="249"/>
      <c r="E3" s="249"/>
      <c r="F3" s="7"/>
      <c r="G3" s="7"/>
      <c r="H3" s="7"/>
      <c r="I3" s="8"/>
      <c r="J3" s="10"/>
      <c r="K3" s="10"/>
      <c r="L3" s="10"/>
    </row>
    <row r="4" spans="1:12" ht="20" x14ac:dyDescent="0.25">
      <c r="A4" s="330" t="s">
        <v>183</v>
      </c>
      <c r="B4" s="249"/>
      <c r="C4" s="249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23" t="s">
        <v>131</v>
      </c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26" t="s">
        <v>179</v>
      </c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26" t="s">
        <v>217</v>
      </c>
      <c r="H9" s="244"/>
      <c r="I9" s="244"/>
      <c r="J9" s="244"/>
      <c r="K9" s="244"/>
      <c r="L9" s="245"/>
    </row>
    <row r="10" spans="1:12" ht="18" customHeight="1" x14ac:dyDescent="0.2">
      <c r="A10" s="246"/>
      <c r="B10" s="244"/>
      <c r="C10" s="244"/>
      <c r="D10" s="244"/>
      <c r="E10" s="244"/>
      <c r="F10" s="245"/>
      <c r="G10" s="325"/>
      <c r="H10" s="244"/>
      <c r="I10" s="244"/>
      <c r="J10" s="244"/>
      <c r="K10" s="244"/>
      <c r="L10" s="245"/>
    </row>
    <row r="11" spans="1:12" ht="18" customHeight="1" x14ac:dyDescent="0.2">
      <c r="A11" s="255"/>
      <c r="B11" s="256"/>
      <c r="C11" s="256"/>
      <c r="D11" s="256"/>
      <c r="E11" s="256"/>
      <c r="F11" s="257"/>
      <c r="G11" s="324"/>
      <c r="H11" s="256"/>
      <c r="I11" s="256"/>
      <c r="J11" s="256"/>
      <c r="K11" s="256"/>
      <c r="L11" s="257"/>
    </row>
    <row r="12" spans="1:12" ht="18" customHeight="1" x14ac:dyDescent="0.2">
      <c r="A12" s="261" t="s">
        <v>187</v>
      </c>
      <c r="B12" s="240"/>
      <c r="C12" s="240"/>
      <c r="D12" s="240"/>
      <c r="E12" s="240"/>
      <c r="F12" s="241"/>
      <c r="G12" s="239" t="s">
        <v>128</v>
      </c>
      <c r="H12" s="240"/>
      <c r="I12" s="240"/>
      <c r="J12" s="240"/>
      <c r="K12" s="240"/>
      <c r="L12" s="241"/>
    </row>
    <row r="13" spans="1:12" ht="18" customHeight="1" x14ac:dyDescent="0.2">
      <c r="A13" s="262" t="s">
        <v>161</v>
      </c>
      <c r="B13" s="244"/>
      <c r="C13" s="244"/>
      <c r="D13" s="244"/>
      <c r="E13" s="244"/>
      <c r="F13" s="245"/>
      <c r="G13" s="260" t="s">
        <v>218</v>
      </c>
      <c r="H13" s="244"/>
      <c r="I13" s="244"/>
      <c r="J13" s="244"/>
      <c r="K13" s="244"/>
      <c r="L13" s="245"/>
    </row>
    <row r="14" spans="1:12" ht="18" customHeight="1" x14ac:dyDescent="0.2">
      <c r="A14" s="262" t="s">
        <v>215</v>
      </c>
      <c r="B14" s="244"/>
      <c r="C14" s="244"/>
      <c r="D14" s="244"/>
      <c r="E14" s="244"/>
      <c r="F14" s="245"/>
      <c r="G14" s="260" t="s">
        <v>216</v>
      </c>
      <c r="H14" s="244"/>
      <c r="I14" s="244"/>
      <c r="J14" s="244"/>
      <c r="K14" s="244"/>
      <c r="L14" s="245"/>
    </row>
    <row r="15" spans="1:12" ht="18" customHeight="1" x14ac:dyDescent="0.2">
      <c r="A15" s="262"/>
      <c r="B15" s="244"/>
      <c r="C15" s="244"/>
      <c r="D15" s="244"/>
      <c r="E15" s="244"/>
      <c r="F15" s="245"/>
      <c r="G15" s="382"/>
      <c r="H15" s="244"/>
      <c r="I15" s="244"/>
      <c r="J15" s="244"/>
      <c r="K15" s="244"/>
      <c r="L15" s="245"/>
    </row>
    <row r="16" spans="1:12" ht="18" customHeight="1" x14ac:dyDescent="0.2">
      <c r="A16" s="389"/>
      <c r="B16" s="256"/>
      <c r="C16" s="256"/>
      <c r="D16" s="256"/>
      <c r="E16" s="256"/>
      <c r="F16" s="257"/>
      <c r="G16" s="391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LIST'!N:N="ABI FMALLN")+('TITLE LIST'!N:N="GENG FMALLN")+('TITLE LIST'!N:N="GBI FMALLN")+('TITLE LIST'!N:N="OENG FMALLN")+('TITLE LIST'!N:N="OBI FMALLN")+('TITLE LIST'!N:N="ASOT ONLYALLN")+('TITLE LIST'!N:N="GSOT ONLYALLN")+('TITLE LIST'!N:N="OSOT ONLYALLN")+('TITLE LIST'!N:N="AENG FM06JN")+('TITLE LIST'!N:N="ABI FM06JN")+('TITLE LIST'!N:N="GENG FM06JN")+('TITLE LIST'!N:N="GBI FM06JN")+('TITLE LIST'!N:N="OENG FM06JN")+('TITLE LIST'!N:N="OBI FM06JN")+('TITLE LIST'!N:N="ASOT ONLY06JN")+('TITLE LIST'!N:N="GSOT ONLY06JN")+('TITLE LIST'!N:N="OSOT ONLY06JN")+('TITLE LIST'!N:N="GENG FMALLY")+('TITLE LIST'!N:N="GBI FMALLY")+('TITLE LIST'!N:N="GSOT ONLYALLY")+('TITLE LIST'!N:N="GENG FM06JY")+('TITLE LIST'!N:N="GBI FM06JY")+('TITLE LIST'!N:N="GSOT ONLY06JY")),"")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84"/>
      <c r="E20" s="184"/>
      <c r="F20" s="123"/>
      <c r="G20" s="123"/>
      <c r="H20" s="185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19"/>
      <c r="L22" s="123"/>
      <c r="M22" s="29"/>
      <c r="N22" s="29"/>
      <c r="O22" s="29"/>
    </row>
    <row r="23" spans="1:15" ht="30" customHeight="1" x14ac:dyDescent="0.2">
      <c r="A23" s="25" t="str">
        <f t="shared" si="0"/>
        <v/>
      </c>
      <c r="B23" s="26"/>
      <c r="C23" s="119"/>
      <c r="D23" s="119"/>
      <c r="E23" s="119"/>
      <c r="F23" s="123"/>
      <c r="G23" s="123"/>
      <c r="H23" s="131"/>
      <c r="I23" s="139"/>
      <c r="J23" s="139"/>
      <c r="K23" s="120"/>
      <c r="L23" s="31"/>
      <c r="M23" s="29"/>
      <c r="N23" s="29"/>
      <c r="O23" s="29"/>
    </row>
    <row r="24" spans="1:15" ht="30" customHeight="1" x14ac:dyDescent="0.2">
      <c r="A24" s="25" t="str">
        <f t="shared" si="0"/>
        <v/>
      </c>
      <c r="B24" s="26"/>
      <c r="C24" s="119"/>
      <c r="D24" s="119"/>
      <c r="E24" s="119"/>
      <c r="F24" s="123"/>
      <c r="G24" s="123"/>
      <c r="H24" s="131"/>
      <c r="I24" s="139"/>
      <c r="J24" s="139"/>
      <c r="K24" s="120"/>
      <c r="L24" s="31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E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00B0F0"/>
    <pageSetUpPr fitToPage="1"/>
  </sheetPr>
  <dimension ref="A1:P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220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393" t="s">
        <v>272</v>
      </c>
      <c r="B3" s="249"/>
      <c r="C3" s="249"/>
      <c r="D3" s="249"/>
      <c r="E3" s="249"/>
      <c r="F3" s="7"/>
      <c r="G3" s="7"/>
      <c r="H3" s="7"/>
      <c r="I3" s="8"/>
      <c r="J3" s="10"/>
      <c r="K3" s="10"/>
      <c r="L3" s="10"/>
    </row>
    <row r="4" spans="1:12" ht="20" x14ac:dyDescent="0.25">
      <c r="A4" s="330" t="s">
        <v>183</v>
      </c>
      <c r="B4" s="249"/>
      <c r="C4" s="249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0"/>
      <c r="G7" s="323" t="s">
        <v>131</v>
      </c>
      <c r="H7" s="240"/>
      <c r="I7" s="240"/>
      <c r="J7" s="240"/>
      <c r="K7" s="240"/>
      <c r="L7" s="241"/>
    </row>
    <row r="8" spans="1:12" ht="18" customHeight="1" x14ac:dyDescent="0.2">
      <c r="A8" s="394"/>
      <c r="B8" s="244"/>
      <c r="C8" s="244"/>
      <c r="D8" s="244"/>
      <c r="E8" s="244"/>
      <c r="F8" s="244"/>
      <c r="G8" s="326" t="s">
        <v>179</v>
      </c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4"/>
      <c r="G9" s="383" t="s">
        <v>207</v>
      </c>
      <c r="H9" s="244"/>
      <c r="I9" s="244"/>
      <c r="J9" s="244"/>
      <c r="K9" s="244"/>
      <c r="L9" s="245"/>
    </row>
    <row r="10" spans="1:12" ht="18" customHeight="1" x14ac:dyDescent="0.2">
      <c r="A10" s="246"/>
      <c r="B10" s="244"/>
      <c r="C10" s="244"/>
      <c r="D10" s="244"/>
      <c r="E10" s="244"/>
      <c r="F10" s="244"/>
      <c r="G10" s="76"/>
      <c r="H10" s="77"/>
      <c r="I10" s="77"/>
      <c r="J10" s="77"/>
      <c r="K10" s="77"/>
      <c r="L10" s="78"/>
    </row>
    <row r="11" spans="1:12" ht="18" customHeight="1" x14ac:dyDescent="0.2">
      <c r="A11" s="255"/>
      <c r="B11" s="256"/>
      <c r="C11" s="256"/>
      <c r="D11" s="256"/>
      <c r="E11" s="256"/>
      <c r="F11" s="256"/>
      <c r="G11" s="20"/>
      <c r="H11" s="21"/>
      <c r="I11" s="21"/>
      <c r="J11" s="21"/>
      <c r="K11" s="21"/>
      <c r="L11" s="22"/>
    </row>
    <row r="12" spans="1:12" ht="18" customHeight="1" x14ac:dyDescent="0.2">
      <c r="A12" s="261" t="s">
        <v>187</v>
      </c>
      <c r="B12" s="240"/>
      <c r="C12" s="240"/>
      <c r="D12" s="240"/>
      <c r="E12" s="240"/>
      <c r="F12" s="241"/>
      <c r="G12" s="239" t="s">
        <v>128</v>
      </c>
      <c r="H12" s="240"/>
      <c r="I12" s="240"/>
      <c r="J12" s="240"/>
      <c r="K12" s="240"/>
      <c r="L12" s="241"/>
    </row>
    <row r="13" spans="1:12" ht="18" customHeight="1" x14ac:dyDescent="0.2">
      <c r="A13" s="262" t="s">
        <v>161</v>
      </c>
      <c r="B13" s="244"/>
      <c r="C13" s="244"/>
      <c r="D13" s="244"/>
      <c r="E13" s="244"/>
      <c r="F13" s="245"/>
      <c r="G13" s="260" t="s">
        <v>167</v>
      </c>
      <c r="H13" s="244"/>
      <c r="I13" s="244"/>
      <c r="J13" s="244"/>
      <c r="K13" s="244"/>
      <c r="L13" s="245"/>
    </row>
    <row r="14" spans="1:12" ht="18" customHeight="1" x14ac:dyDescent="0.2">
      <c r="A14" s="392" t="s">
        <v>207</v>
      </c>
      <c r="B14" s="244"/>
      <c r="C14" s="244"/>
      <c r="D14" s="244"/>
      <c r="E14" s="244"/>
      <c r="F14" s="245"/>
      <c r="G14" s="390" t="s">
        <v>207</v>
      </c>
      <c r="H14" s="244"/>
      <c r="I14" s="244"/>
      <c r="J14" s="244"/>
      <c r="K14" s="244"/>
      <c r="L14" s="245"/>
    </row>
    <row r="15" spans="1:12" ht="18" customHeight="1" x14ac:dyDescent="0.2">
      <c r="A15" s="262"/>
      <c r="B15" s="244"/>
      <c r="C15" s="244"/>
      <c r="D15" s="244"/>
      <c r="E15" s="244"/>
      <c r="F15" s="245"/>
      <c r="G15" s="254"/>
      <c r="H15" s="244"/>
      <c r="I15" s="244"/>
      <c r="J15" s="244"/>
      <c r="K15" s="244"/>
      <c r="L15" s="245"/>
    </row>
    <row r="16" spans="1:12" ht="18" customHeight="1" x14ac:dyDescent="0.2">
      <c r="A16" s="389"/>
      <c r="B16" s="256"/>
      <c r="C16" s="256"/>
      <c r="D16" s="256"/>
      <c r="E16" s="256"/>
      <c r="F16" s="257"/>
      <c r="G16" s="255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LIST'!N:N="ABI FMALLN")+('TITLE LIST'!N:N="GBI FMALLN")+('TITLE LIST'!N:N="OBI FMALLN")+('TITLE LIST'!N:N="ASOT ONLYALLN")+('TITLE LIST'!N:N="GSOT ONLYALLN")+('TITLE LIST'!N:N="OSOT ONLYALLN")+('TITLE LIST'!N:N="ABI FM06KN")+('TITLE LIST'!N:N="GBI FM06KN")+('TITLE LIST'!N:N="OBI FM06KN")+('TITLE LIST'!N:N="ASOT ONLY06KN")+('TITLE LIST'!N:N="GSOT ONLY06KN")+('TITLE LIST'!N:N="OSOT ONLY06KN")+('TITLE LIST'!N:N="GBI FMALLY")+('TITLE LIST'!N:N="GSOT ONLYALLY")+('TITLE LIST'!N:N="GBI FM06KY")+('TITLE LIST'!N:N="GSOT ONLY06KY")),"")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20"/>
      <c r="L21" s="31"/>
      <c r="M21" s="29"/>
      <c r="N21" s="29"/>
      <c r="O21" s="29"/>
    </row>
    <row r="22" spans="1:15" ht="30" customHeight="1" x14ac:dyDescent="0.2">
      <c r="A22" s="25" t="str">
        <f t="shared" si="0"/>
        <v/>
      </c>
      <c r="B22" s="26"/>
      <c r="C22" s="119"/>
      <c r="D22" s="119"/>
      <c r="E22" s="119"/>
      <c r="F22" s="123"/>
      <c r="G22" s="123"/>
      <c r="H22" s="131"/>
      <c r="I22" s="139"/>
      <c r="J22" s="139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5">
    <mergeCell ref="D18:E18"/>
    <mergeCell ref="A7:F7"/>
    <mergeCell ref="A8:F8"/>
    <mergeCell ref="A9:F9"/>
    <mergeCell ref="A10:F10"/>
    <mergeCell ref="A11:F11"/>
    <mergeCell ref="A12:F12"/>
    <mergeCell ref="A13:F13"/>
    <mergeCell ref="A6:C6"/>
    <mergeCell ref="A1:L1"/>
    <mergeCell ref="A2:D2"/>
    <mergeCell ref="A3:E3"/>
    <mergeCell ref="A4:C4"/>
    <mergeCell ref="A5:D5"/>
    <mergeCell ref="G7:L7"/>
    <mergeCell ref="A14:F14"/>
    <mergeCell ref="A15:F15"/>
    <mergeCell ref="A16:F16"/>
    <mergeCell ref="G8:L8"/>
    <mergeCell ref="G9:L9"/>
    <mergeCell ref="G12:L12"/>
    <mergeCell ref="G13:L13"/>
    <mergeCell ref="G14:L14"/>
    <mergeCell ref="G15:L15"/>
    <mergeCell ref="G16:L16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B2A1C7"/>
    <pageSetUpPr fitToPage="1"/>
  </sheetPr>
  <dimension ref="A1:P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219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273</v>
      </c>
      <c r="B3" s="249"/>
      <c r="C3" s="249"/>
      <c r="D3" s="249"/>
      <c r="E3" s="249"/>
      <c r="F3" s="249"/>
      <c r="G3" s="7"/>
      <c r="H3" s="7"/>
      <c r="I3" s="8"/>
      <c r="J3" s="10"/>
      <c r="K3" s="10"/>
      <c r="L3" s="10"/>
    </row>
    <row r="4" spans="1:12" ht="20" x14ac:dyDescent="0.25">
      <c r="A4" s="330" t="s">
        <v>221</v>
      </c>
      <c r="B4" s="249"/>
      <c r="C4" s="249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18"/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82"/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82"/>
      <c r="H9" s="244"/>
      <c r="I9" s="244"/>
      <c r="J9" s="244"/>
      <c r="K9" s="244"/>
      <c r="L9" s="245"/>
    </row>
    <row r="10" spans="1:12" ht="18" customHeight="1" x14ac:dyDescent="0.2">
      <c r="A10" s="311"/>
      <c r="B10" s="244"/>
      <c r="C10" s="244"/>
      <c r="D10" s="244"/>
      <c r="E10" s="244"/>
      <c r="F10" s="245"/>
      <c r="G10" s="382"/>
      <c r="H10" s="244"/>
      <c r="I10" s="244"/>
      <c r="J10" s="244"/>
      <c r="K10" s="244"/>
      <c r="L10" s="245"/>
    </row>
    <row r="11" spans="1:12" ht="18" customHeight="1" x14ac:dyDescent="0.2">
      <c r="A11" s="397"/>
      <c r="B11" s="256"/>
      <c r="C11" s="256"/>
      <c r="D11" s="256"/>
      <c r="E11" s="256"/>
      <c r="F11" s="257"/>
      <c r="G11" s="382"/>
      <c r="H11" s="244"/>
      <c r="I11" s="244"/>
      <c r="J11" s="244"/>
      <c r="K11" s="244"/>
      <c r="L11" s="245"/>
    </row>
    <row r="12" spans="1:12" ht="18" customHeight="1" x14ac:dyDescent="0.2">
      <c r="A12" s="354" t="s">
        <v>222</v>
      </c>
      <c r="B12" s="332"/>
      <c r="C12" s="332"/>
      <c r="D12" s="332"/>
      <c r="E12" s="332"/>
      <c r="F12" s="333"/>
      <c r="G12" s="350" t="s">
        <v>12</v>
      </c>
      <c r="H12" s="332"/>
      <c r="I12" s="332"/>
      <c r="J12" s="332"/>
      <c r="K12" s="332"/>
      <c r="L12" s="333"/>
    </row>
    <row r="13" spans="1:12" ht="18" customHeight="1" x14ac:dyDescent="0.2">
      <c r="A13" s="334" t="s">
        <v>178</v>
      </c>
      <c r="B13" s="344"/>
      <c r="C13" s="344"/>
      <c r="D13" s="344"/>
      <c r="E13" s="344"/>
      <c r="F13" s="345"/>
      <c r="G13" s="343" t="s">
        <v>178</v>
      </c>
      <c r="H13" s="344"/>
      <c r="I13" s="344"/>
      <c r="J13" s="344"/>
      <c r="K13" s="344"/>
      <c r="L13" s="345"/>
    </row>
    <row r="14" spans="1:12" ht="18" customHeight="1" x14ac:dyDescent="0.2">
      <c r="A14" s="334" t="s">
        <v>161</v>
      </c>
      <c r="B14" s="344"/>
      <c r="C14" s="344"/>
      <c r="D14" s="344"/>
      <c r="E14" s="344"/>
      <c r="F14" s="345"/>
      <c r="G14" s="343" t="s">
        <v>167</v>
      </c>
      <c r="H14" s="344"/>
      <c r="I14" s="344"/>
      <c r="J14" s="344"/>
      <c r="K14" s="344"/>
      <c r="L14" s="345"/>
    </row>
    <row r="15" spans="1:12" ht="18" customHeight="1" x14ac:dyDescent="0.2">
      <c r="A15" s="395" t="s">
        <v>223</v>
      </c>
      <c r="B15" s="344"/>
      <c r="C15" s="344"/>
      <c r="D15" s="344"/>
      <c r="E15" s="344"/>
      <c r="F15" s="345"/>
      <c r="G15" s="396" t="s">
        <v>223</v>
      </c>
      <c r="H15" s="344"/>
      <c r="I15" s="344"/>
      <c r="J15" s="344"/>
      <c r="K15" s="344"/>
      <c r="L15" s="345"/>
    </row>
    <row r="16" spans="1:12" ht="18" customHeight="1" x14ac:dyDescent="0.2">
      <c r="A16" s="385" t="s">
        <v>224</v>
      </c>
      <c r="B16" s="347"/>
      <c r="C16" s="347"/>
      <c r="D16" s="347"/>
      <c r="E16" s="347"/>
      <c r="F16" s="348"/>
      <c r="G16" s="386" t="s">
        <v>224</v>
      </c>
      <c r="H16" s="347"/>
      <c r="I16" s="347"/>
      <c r="J16" s="347"/>
      <c r="K16" s="347"/>
      <c r="L16" s="348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FM07AN")+('TITLE LIST'!N:N="GENG FM07AN")+('TITLE LIST'!N:N="ASOT ONLY07AN")+('TITLE LIST'!N:N="GSOT ONLY07AN")+('TITLE LIST'!N:N="GENG FMALLY")+('TITLE LIST'!N:N="GSOT ONLYALLY")+('TITLE LIST'!N:N="GENG FM07AY")+('TITLE LIST'!N:N="GSOT ONLY07AY")),"")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B2A1C7"/>
    <pageSetUpPr fitToPage="1"/>
  </sheetPr>
  <dimension ref="A1:P45"/>
  <sheetViews>
    <sheetView showZeros="0" zoomScale="70" zoomScaleNormal="70" workbookViewId="0">
      <selection activeCell="A3" sqref="A3:F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219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274</v>
      </c>
      <c r="B3" s="249"/>
      <c r="C3" s="249"/>
      <c r="D3" s="249"/>
      <c r="E3" s="249"/>
      <c r="F3" s="249"/>
      <c r="G3" s="7"/>
      <c r="H3" s="7"/>
      <c r="I3" s="8"/>
      <c r="J3" s="10"/>
      <c r="K3" s="10"/>
      <c r="L3" s="10"/>
    </row>
    <row r="4" spans="1:12" ht="20" x14ac:dyDescent="0.25">
      <c r="A4" s="330" t="s">
        <v>221</v>
      </c>
      <c r="B4" s="249"/>
      <c r="C4" s="249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18"/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82"/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82"/>
      <c r="H9" s="244"/>
      <c r="I9" s="244"/>
      <c r="J9" s="244"/>
      <c r="K9" s="244"/>
      <c r="L9" s="245"/>
    </row>
    <row r="10" spans="1:12" ht="18" customHeight="1" x14ac:dyDescent="0.2">
      <c r="A10" s="325"/>
      <c r="B10" s="244"/>
      <c r="C10" s="244"/>
      <c r="D10" s="244"/>
      <c r="E10" s="244"/>
      <c r="F10" s="245"/>
      <c r="G10" s="325"/>
      <c r="H10" s="244"/>
      <c r="I10" s="244"/>
      <c r="J10" s="244"/>
      <c r="K10" s="244"/>
      <c r="L10" s="245"/>
    </row>
    <row r="11" spans="1:12" ht="18" customHeight="1" x14ac:dyDescent="0.2">
      <c r="A11" s="324"/>
      <c r="B11" s="256"/>
      <c r="C11" s="256"/>
      <c r="D11" s="256"/>
      <c r="E11" s="256"/>
      <c r="F11" s="257"/>
      <c r="G11" s="324"/>
      <c r="H11" s="256"/>
      <c r="I11" s="256"/>
      <c r="J11" s="256"/>
      <c r="K11" s="256"/>
      <c r="L11" s="257"/>
    </row>
    <row r="12" spans="1:12" ht="18" customHeight="1" x14ac:dyDescent="0.2">
      <c r="A12" s="261" t="s">
        <v>222</v>
      </c>
      <c r="B12" s="240"/>
      <c r="C12" s="240"/>
      <c r="D12" s="240"/>
      <c r="E12" s="240"/>
      <c r="F12" s="241"/>
      <c r="G12" s="239" t="s">
        <v>12</v>
      </c>
      <c r="H12" s="240"/>
      <c r="I12" s="240"/>
      <c r="J12" s="240"/>
      <c r="K12" s="240"/>
      <c r="L12" s="241"/>
    </row>
    <row r="13" spans="1:12" ht="18" customHeight="1" x14ac:dyDescent="0.2">
      <c r="A13" s="262" t="s">
        <v>178</v>
      </c>
      <c r="B13" s="244"/>
      <c r="C13" s="244"/>
      <c r="D13" s="244"/>
      <c r="E13" s="244"/>
      <c r="F13" s="245"/>
      <c r="G13" s="260" t="s">
        <v>178</v>
      </c>
      <c r="H13" s="244"/>
      <c r="I13" s="244"/>
      <c r="J13" s="244"/>
      <c r="K13" s="244"/>
      <c r="L13" s="245"/>
    </row>
    <row r="14" spans="1:12" ht="18" customHeight="1" x14ac:dyDescent="0.2">
      <c r="A14" s="262" t="s">
        <v>161</v>
      </c>
      <c r="B14" s="244"/>
      <c r="C14" s="244"/>
      <c r="D14" s="244"/>
      <c r="E14" s="244"/>
      <c r="F14" s="245"/>
      <c r="G14" s="260" t="s">
        <v>167</v>
      </c>
      <c r="H14" s="244"/>
      <c r="I14" s="244"/>
      <c r="J14" s="244"/>
      <c r="K14" s="244"/>
      <c r="L14" s="245"/>
    </row>
    <row r="15" spans="1:12" ht="18" customHeight="1" x14ac:dyDescent="0.2">
      <c r="A15" s="325"/>
      <c r="B15" s="244"/>
      <c r="C15" s="244"/>
      <c r="D15" s="244"/>
      <c r="E15" s="244"/>
      <c r="F15" s="245"/>
      <c r="G15" s="325"/>
      <c r="H15" s="244"/>
      <c r="I15" s="244"/>
      <c r="J15" s="244"/>
      <c r="K15" s="244"/>
      <c r="L15" s="245"/>
    </row>
    <row r="16" spans="1:12" ht="18" customHeight="1" x14ac:dyDescent="0.2">
      <c r="A16" s="324"/>
      <c r="B16" s="256"/>
      <c r="C16" s="256"/>
      <c r="D16" s="256"/>
      <c r="E16" s="256"/>
      <c r="F16" s="257"/>
      <c r="G16" s="324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FM07CN")+('TITLE LIST'!N:N="GENG FM07CN")+('TITLE LIST'!N:N="ASOT ONLY07CN")+('TITLE LIST'!N:N="GSOT ONLY07CN")+('TITLE LIST'!N:N="GENG FMALLY")+('TITLE LIST'!N:N="GSOT ONLYALLY")+('TITLE LIST'!N:N="GENG FM07CY")+('TITLE LIST'!N:N="GSOT ONLY07CY")),"")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F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B2A1C7"/>
    <pageSetUpPr fitToPage="1"/>
  </sheetPr>
  <dimension ref="A1:P45"/>
  <sheetViews>
    <sheetView showZeros="0" zoomScale="70" zoomScaleNormal="70" workbookViewId="0">
      <selection activeCell="A3" sqref="A3:H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250" t="s">
        <v>219</v>
      </c>
      <c r="B2" s="249"/>
      <c r="C2" s="249"/>
      <c r="D2" s="249"/>
      <c r="E2" s="7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275</v>
      </c>
      <c r="B3" s="249"/>
      <c r="C3" s="249"/>
      <c r="D3" s="249"/>
      <c r="E3" s="249"/>
      <c r="F3" s="249"/>
      <c r="G3" s="249"/>
      <c r="H3" s="249"/>
      <c r="I3" s="8"/>
      <c r="J3" s="10"/>
      <c r="K3" s="10"/>
      <c r="L3" s="10"/>
    </row>
    <row r="4" spans="1:12" ht="20" x14ac:dyDescent="0.25">
      <c r="A4" s="253" t="s">
        <v>222</v>
      </c>
      <c r="B4" s="249"/>
      <c r="C4" s="249"/>
      <c r="D4" s="35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18"/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82"/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82"/>
      <c r="H9" s="244"/>
      <c r="I9" s="244"/>
      <c r="J9" s="244"/>
      <c r="K9" s="244"/>
      <c r="L9" s="245"/>
    </row>
    <row r="10" spans="1:12" ht="18" customHeight="1" x14ac:dyDescent="0.2">
      <c r="A10" s="325"/>
      <c r="B10" s="244"/>
      <c r="C10" s="244"/>
      <c r="D10" s="244"/>
      <c r="E10" s="244"/>
      <c r="F10" s="245"/>
      <c r="G10" s="325"/>
      <c r="H10" s="244"/>
      <c r="I10" s="244"/>
      <c r="J10" s="244"/>
      <c r="K10" s="244"/>
      <c r="L10" s="245"/>
    </row>
    <row r="11" spans="1:12" ht="18" customHeight="1" x14ac:dyDescent="0.2">
      <c r="A11" s="324"/>
      <c r="B11" s="256"/>
      <c r="C11" s="256"/>
      <c r="D11" s="256"/>
      <c r="E11" s="256"/>
      <c r="F11" s="257"/>
      <c r="G11" s="324"/>
      <c r="H11" s="256"/>
      <c r="I11" s="256"/>
      <c r="J11" s="256"/>
      <c r="K11" s="256"/>
      <c r="L11" s="257"/>
    </row>
    <row r="12" spans="1:12" ht="18" customHeight="1" x14ac:dyDescent="0.2">
      <c r="A12" s="261" t="s">
        <v>222</v>
      </c>
      <c r="B12" s="240"/>
      <c r="C12" s="240"/>
      <c r="D12" s="240"/>
      <c r="E12" s="240"/>
      <c r="F12" s="241"/>
      <c r="G12" s="328"/>
      <c r="H12" s="240"/>
      <c r="I12" s="240"/>
      <c r="J12" s="240"/>
      <c r="K12" s="240"/>
      <c r="L12" s="241"/>
    </row>
    <row r="13" spans="1:12" ht="18" customHeight="1" x14ac:dyDescent="0.2">
      <c r="A13" s="262" t="s">
        <v>178</v>
      </c>
      <c r="B13" s="244"/>
      <c r="C13" s="244"/>
      <c r="D13" s="244"/>
      <c r="E13" s="244"/>
      <c r="F13" s="245"/>
      <c r="G13" s="325"/>
      <c r="H13" s="244"/>
      <c r="I13" s="244"/>
      <c r="J13" s="244"/>
      <c r="K13" s="244"/>
      <c r="L13" s="245"/>
    </row>
    <row r="14" spans="1:12" ht="18" customHeight="1" x14ac:dyDescent="0.2">
      <c r="A14" s="262" t="s">
        <v>161</v>
      </c>
      <c r="B14" s="244"/>
      <c r="C14" s="244"/>
      <c r="D14" s="244"/>
      <c r="E14" s="244"/>
      <c r="F14" s="245"/>
      <c r="G14" s="325"/>
      <c r="H14" s="244"/>
      <c r="I14" s="244"/>
      <c r="J14" s="244"/>
      <c r="K14" s="244"/>
      <c r="L14" s="245"/>
    </row>
    <row r="15" spans="1:12" ht="18" customHeight="1" x14ac:dyDescent="0.2">
      <c r="A15" s="325"/>
      <c r="B15" s="244"/>
      <c r="C15" s="244"/>
      <c r="D15" s="244"/>
      <c r="E15" s="244"/>
      <c r="F15" s="245"/>
      <c r="G15" s="325"/>
      <c r="H15" s="244"/>
      <c r="I15" s="244"/>
      <c r="J15" s="244"/>
      <c r="K15" s="244"/>
      <c r="L15" s="245"/>
    </row>
    <row r="16" spans="1:12" ht="18" customHeight="1" x14ac:dyDescent="0.2">
      <c r="A16" s="324"/>
      <c r="B16" s="256"/>
      <c r="C16" s="256"/>
      <c r="D16" s="256"/>
      <c r="E16" s="256"/>
      <c r="F16" s="257"/>
      <c r="G16" s="324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LIST'!N:N="ASOT ONLYALLN")+('TITLE LIST'!N:N="AENG FM07DN")+('TITLE LIST'!N:N="ASOT ONLY07DN")),"")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D2"/>
    <mergeCell ref="A3:H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>
    <tabColor theme="7" tint="-0.249977111117893"/>
    <pageSetUpPr fitToPage="1"/>
  </sheetPr>
  <dimension ref="A1:P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6" x14ac:dyDescent="0.2">
      <c r="A2" s="398" t="s">
        <v>225</v>
      </c>
      <c r="B2" s="249"/>
      <c r="C2" s="249"/>
      <c r="D2" s="249"/>
      <c r="E2" s="249"/>
      <c r="F2" s="249"/>
      <c r="G2" s="249"/>
      <c r="H2" s="7"/>
      <c r="I2" s="8"/>
      <c r="J2" s="8"/>
      <c r="K2" s="7"/>
      <c r="L2" s="7"/>
    </row>
    <row r="3" spans="1:12" ht="50.25" customHeight="1" x14ac:dyDescent="0.6">
      <c r="A3" s="251" t="s">
        <v>276</v>
      </c>
      <c r="B3" s="249"/>
      <c r="C3" s="249"/>
      <c r="D3" s="249"/>
      <c r="E3" s="249"/>
      <c r="F3" s="7"/>
      <c r="G3" s="7"/>
      <c r="H3" s="7"/>
      <c r="I3" s="8"/>
      <c r="J3" s="10"/>
      <c r="K3" s="10"/>
      <c r="L3" s="10"/>
    </row>
    <row r="4" spans="1:12" ht="20" x14ac:dyDescent="0.25">
      <c r="A4" s="253" t="s">
        <v>159</v>
      </c>
      <c r="B4" s="249"/>
      <c r="C4" s="249"/>
      <c r="D4" s="37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318"/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382"/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382"/>
      <c r="H9" s="244"/>
      <c r="I9" s="244"/>
      <c r="J9" s="244"/>
      <c r="K9" s="244"/>
      <c r="L9" s="245"/>
    </row>
    <row r="10" spans="1:12" ht="18" customHeight="1" x14ac:dyDescent="0.2">
      <c r="A10" s="325"/>
      <c r="B10" s="244"/>
      <c r="C10" s="244"/>
      <c r="D10" s="244"/>
      <c r="E10" s="244"/>
      <c r="F10" s="245"/>
      <c r="G10" s="325"/>
      <c r="H10" s="244"/>
      <c r="I10" s="244"/>
      <c r="J10" s="244"/>
      <c r="K10" s="244"/>
      <c r="L10" s="245"/>
    </row>
    <row r="11" spans="1:12" ht="18" customHeight="1" x14ac:dyDescent="0.2">
      <c r="A11" s="324"/>
      <c r="B11" s="256"/>
      <c r="C11" s="256"/>
      <c r="D11" s="256"/>
      <c r="E11" s="256"/>
      <c r="F11" s="257"/>
      <c r="G11" s="324"/>
      <c r="H11" s="256"/>
      <c r="I11" s="256"/>
      <c r="J11" s="256"/>
      <c r="K11" s="256"/>
      <c r="L11" s="257"/>
    </row>
    <row r="12" spans="1:12" ht="18" customHeight="1" x14ac:dyDescent="0.2">
      <c r="A12" s="261" t="s">
        <v>159</v>
      </c>
      <c r="B12" s="240"/>
      <c r="C12" s="240"/>
      <c r="D12" s="240"/>
      <c r="E12" s="240"/>
      <c r="F12" s="241"/>
      <c r="G12" s="328"/>
      <c r="H12" s="240"/>
      <c r="I12" s="240"/>
      <c r="J12" s="240"/>
      <c r="K12" s="240"/>
      <c r="L12" s="241"/>
    </row>
    <row r="13" spans="1:12" ht="18" customHeight="1" x14ac:dyDescent="0.2">
      <c r="A13" s="262" t="s">
        <v>178</v>
      </c>
      <c r="B13" s="244"/>
      <c r="C13" s="244"/>
      <c r="D13" s="244"/>
      <c r="E13" s="244"/>
      <c r="F13" s="245"/>
      <c r="G13" s="325"/>
      <c r="H13" s="244"/>
      <c r="I13" s="244"/>
      <c r="J13" s="244"/>
      <c r="K13" s="244"/>
      <c r="L13" s="245"/>
    </row>
    <row r="14" spans="1:12" ht="18" customHeight="1" x14ac:dyDescent="0.2">
      <c r="A14" s="262" t="s">
        <v>161</v>
      </c>
      <c r="B14" s="244"/>
      <c r="C14" s="244"/>
      <c r="D14" s="244"/>
      <c r="E14" s="244"/>
      <c r="F14" s="245"/>
      <c r="G14" s="325"/>
      <c r="H14" s="244"/>
      <c r="I14" s="244"/>
      <c r="J14" s="244"/>
      <c r="K14" s="244"/>
      <c r="L14" s="245"/>
    </row>
    <row r="15" spans="1:12" ht="18" customHeight="1" x14ac:dyDescent="0.2">
      <c r="A15" s="325"/>
      <c r="B15" s="244"/>
      <c r="C15" s="244"/>
      <c r="D15" s="244"/>
      <c r="E15" s="244"/>
      <c r="F15" s="245"/>
      <c r="G15" s="325"/>
      <c r="H15" s="244"/>
      <c r="I15" s="244"/>
      <c r="J15" s="244"/>
      <c r="K15" s="244"/>
      <c r="L15" s="245"/>
    </row>
    <row r="16" spans="1:12" ht="18" customHeight="1" x14ac:dyDescent="0.2">
      <c r="A16" s="324"/>
      <c r="B16" s="256"/>
      <c r="C16" s="256"/>
      <c r="D16" s="256"/>
      <c r="E16" s="256"/>
      <c r="F16" s="257"/>
      <c r="G16" s="324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LIST'!N:N="ASOT ONLYALLN")+('TITLE LIST'!N:N="AENG FM08AN")+('TITLE LIST'!N:N="ASOT ONLY08AN")),"")</f>
        <v/>
      </c>
      <c r="C19" s="119"/>
      <c r="D19" s="119"/>
      <c r="E19" s="119"/>
      <c r="F19" s="123"/>
      <c r="G19" s="123"/>
      <c r="H19" s="131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8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8"/>
      <c r="C21" s="120"/>
      <c r="D21" s="120"/>
      <c r="E21" s="120"/>
      <c r="F21" s="31"/>
      <c r="G21" s="31"/>
      <c r="H21" s="132"/>
      <c r="I21" s="140"/>
      <c r="J21" s="140"/>
      <c r="K21" s="120"/>
      <c r="L21" s="31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G2"/>
    <mergeCell ref="A3:E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>
    <tabColor theme="7" tint="-0.249977111117893"/>
    <pageSetUpPr fitToPage="1"/>
  </sheetPr>
  <dimension ref="A1:P45"/>
  <sheetViews>
    <sheetView showZeros="0" zoomScale="70" zoomScaleNormal="70" workbookViewId="0">
      <selection activeCell="A3" sqref="A3:E3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6" x14ac:dyDescent="0.2">
      <c r="A2" s="310" t="s">
        <v>169</v>
      </c>
      <c r="B2" s="249"/>
      <c r="C2" s="249"/>
      <c r="D2" s="38"/>
      <c r="E2" s="38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277</v>
      </c>
      <c r="B3" s="249"/>
      <c r="C3" s="249"/>
      <c r="D3" s="249"/>
      <c r="E3" s="249"/>
      <c r="F3" s="7"/>
      <c r="G3" s="7"/>
      <c r="H3" s="7"/>
      <c r="I3" s="8"/>
      <c r="J3" s="10"/>
      <c r="K3" s="10"/>
      <c r="L3" s="10"/>
    </row>
    <row r="4" spans="1:12" ht="20" x14ac:dyDescent="0.25">
      <c r="A4" s="253" t="s">
        <v>226</v>
      </c>
      <c r="B4" s="249"/>
      <c r="C4" s="249"/>
      <c r="D4" s="249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399"/>
      <c r="B7" s="240"/>
      <c r="C7" s="240"/>
      <c r="D7" s="240"/>
      <c r="E7" s="240"/>
      <c r="F7" s="241"/>
      <c r="G7" s="318"/>
      <c r="H7" s="240"/>
      <c r="I7" s="240"/>
      <c r="J7" s="240"/>
      <c r="K7" s="240"/>
      <c r="L7" s="241"/>
    </row>
    <row r="8" spans="1:12" ht="18" customHeight="1" x14ac:dyDescent="0.2">
      <c r="A8" s="400"/>
      <c r="B8" s="244"/>
      <c r="C8" s="244"/>
      <c r="D8" s="244"/>
      <c r="E8" s="244"/>
      <c r="F8" s="245"/>
      <c r="G8" s="382"/>
      <c r="H8" s="244"/>
      <c r="I8" s="244"/>
      <c r="J8" s="244"/>
      <c r="K8" s="244"/>
      <c r="L8" s="245"/>
    </row>
    <row r="9" spans="1:12" ht="18" customHeight="1" x14ac:dyDescent="0.2">
      <c r="A9" s="400"/>
      <c r="B9" s="244"/>
      <c r="C9" s="244"/>
      <c r="D9" s="244"/>
      <c r="E9" s="244"/>
      <c r="F9" s="245"/>
      <c r="G9" s="382"/>
      <c r="H9" s="244"/>
      <c r="I9" s="244"/>
      <c r="J9" s="244"/>
      <c r="K9" s="244"/>
      <c r="L9" s="245"/>
    </row>
    <row r="10" spans="1:12" ht="18" customHeight="1" x14ac:dyDescent="0.2">
      <c r="A10" s="400"/>
      <c r="B10" s="244"/>
      <c r="C10" s="244"/>
      <c r="D10" s="244"/>
      <c r="E10" s="244"/>
      <c r="F10" s="245"/>
      <c r="G10" s="325"/>
      <c r="H10" s="244"/>
      <c r="I10" s="244"/>
      <c r="J10" s="244"/>
      <c r="K10" s="244"/>
      <c r="L10" s="245"/>
    </row>
    <row r="11" spans="1:12" ht="18" customHeight="1" x14ac:dyDescent="0.2">
      <c r="A11" s="324"/>
      <c r="B11" s="256"/>
      <c r="C11" s="256"/>
      <c r="D11" s="256"/>
      <c r="E11" s="256"/>
      <c r="F11" s="257"/>
      <c r="G11" s="324"/>
      <c r="H11" s="256"/>
      <c r="I11" s="256"/>
      <c r="J11" s="256"/>
      <c r="K11" s="256"/>
      <c r="L11" s="257"/>
    </row>
    <row r="12" spans="1:12" ht="18" customHeight="1" x14ac:dyDescent="0.2">
      <c r="A12" s="261" t="s">
        <v>159</v>
      </c>
      <c r="B12" s="240"/>
      <c r="C12" s="240"/>
      <c r="D12" s="240"/>
      <c r="E12" s="240"/>
      <c r="F12" s="241"/>
      <c r="G12" s="239" t="s">
        <v>128</v>
      </c>
      <c r="H12" s="240"/>
      <c r="I12" s="240"/>
      <c r="J12" s="240"/>
      <c r="K12" s="240"/>
      <c r="L12" s="241"/>
    </row>
    <row r="13" spans="1:12" ht="18" customHeight="1" x14ac:dyDescent="0.2">
      <c r="A13" s="262" t="s">
        <v>178</v>
      </c>
      <c r="B13" s="244"/>
      <c r="C13" s="244"/>
      <c r="D13" s="244"/>
      <c r="E13" s="244"/>
      <c r="F13" s="245"/>
      <c r="G13" s="260" t="s">
        <v>178</v>
      </c>
      <c r="H13" s="244"/>
      <c r="I13" s="244"/>
      <c r="J13" s="244"/>
      <c r="K13" s="244"/>
      <c r="L13" s="245"/>
    </row>
    <row r="14" spans="1:12" ht="18" customHeight="1" x14ac:dyDescent="0.2">
      <c r="A14" s="262" t="s">
        <v>161</v>
      </c>
      <c r="B14" s="244"/>
      <c r="C14" s="244"/>
      <c r="D14" s="244"/>
      <c r="E14" s="244"/>
      <c r="F14" s="245"/>
      <c r="G14" s="260" t="s">
        <v>167</v>
      </c>
      <c r="H14" s="244"/>
      <c r="I14" s="244"/>
      <c r="J14" s="244"/>
      <c r="K14" s="244"/>
      <c r="L14" s="245"/>
    </row>
    <row r="15" spans="1:12" ht="18" customHeight="1" x14ac:dyDescent="0.2">
      <c r="A15" s="325"/>
      <c r="B15" s="244"/>
      <c r="C15" s="244"/>
      <c r="D15" s="244"/>
      <c r="E15" s="244"/>
      <c r="F15" s="245"/>
      <c r="G15" s="260" t="s">
        <v>227</v>
      </c>
      <c r="H15" s="244"/>
      <c r="I15" s="244"/>
      <c r="J15" s="244"/>
      <c r="K15" s="244"/>
      <c r="L15" s="245"/>
    </row>
    <row r="16" spans="1:12" ht="18" customHeight="1" x14ac:dyDescent="0.2">
      <c r="A16" s="324"/>
      <c r="B16" s="256"/>
      <c r="C16" s="256"/>
      <c r="D16" s="256"/>
      <c r="E16" s="256"/>
      <c r="F16" s="257"/>
      <c r="G16" s="324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FM08BN")+('TITLE LIST'!N:N="GENG FM08BN")+('TITLE LIST'!N:N="ASOT ONLY08BN")+('TITLE LIST'!N:N="GSOT ONLY08BN")+('TITLE LIST'!N:N="GENG FMALLY")+('TITLE LIST'!N:N="GSOT ONLYALLY")+('TITLE LIST'!N:N="GENG FM08BY")+('TITLE LIST'!N:N="GSOT ONLY08BY")),"")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C2"/>
    <mergeCell ref="A3:E3"/>
    <mergeCell ref="A4:D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>
    <tabColor theme="9" tint="-0.249977111117893"/>
    <pageSetUpPr fitToPage="1"/>
  </sheetPr>
  <dimension ref="A1:P45"/>
  <sheetViews>
    <sheetView showZeros="0" zoomScale="70" zoomScaleNormal="70" workbookViewId="0">
      <selection activeCell="G25" sqref="G25"/>
    </sheetView>
  </sheetViews>
  <sheetFormatPr baseColWidth="10" defaultColWidth="14.5" defaultRowHeight="15" customHeight="1" x14ac:dyDescent="0.2"/>
  <cols>
    <col min="1" max="2" width="10.83203125" customWidth="1"/>
    <col min="3" max="3" width="36.83203125" customWidth="1"/>
    <col min="4" max="5" width="25.83203125" customWidth="1"/>
    <col min="6" max="6" width="6.83203125" customWidth="1"/>
    <col min="7" max="8" width="10.83203125" customWidth="1"/>
    <col min="9" max="10" width="22.83203125" customWidth="1"/>
    <col min="11" max="11" width="12.83203125" customWidth="1"/>
    <col min="12" max="12" width="14.83203125" customWidth="1"/>
    <col min="13" max="16" width="9.1640625" hidden="1" customWidth="1"/>
    <col min="17" max="26" width="9.1640625" customWidth="1"/>
  </cols>
  <sheetData>
    <row r="1" spans="1:12" ht="20" customHeight="1" x14ac:dyDescent="0.25">
      <c r="A1" s="248" t="s">
        <v>156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7" x14ac:dyDescent="0.2">
      <c r="A2" s="401" t="s">
        <v>169</v>
      </c>
      <c r="B2" s="249"/>
      <c r="C2" s="249"/>
      <c r="D2" s="38"/>
      <c r="E2" s="38"/>
      <c r="F2" s="7"/>
      <c r="G2" s="7"/>
      <c r="H2" s="7"/>
      <c r="I2" s="8"/>
      <c r="J2" s="8"/>
      <c r="K2" s="7"/>
      <c r="L2" s="7"/>
    </row>
    <row r="3" spans="1:12" ht="50.25" customHeight="1" x14ac:dyDescent="0.6">
      <c r="A3" s="251" t="s">
        <v>278</v>
      </c>
      <c r="B3" s="249"/>
      <c r="C3" s="249"/>
      <c r="D3" s="249"/>
      <c r="E3" s="17"/>
      <c r="F3" s="7"/>
      <c r="G3" s="7"/>
      <c r="H3" s="7"/>
      <c r="I3" s="8"/>
      <c r="J3" s="10"/>
      <c r="K3" s="10"/>
      <c r="L3" s="10"/>
    </row>
    <row r="4" spans="1:12" ht="20" x14ac:dyDescent="0.25">
      <c r="A4" s="330" t="s">
        <v>228</v>
      </c>
      <c r="B4" s="249"/>
      <c r="C4" s="249"/>
      <c r="D4" s="37"/>
      <c r="E4" s="12"/>
      <c r="F4" s="13"/>
      <c r="G4" s="13"/>
      <c r="H4" s="13"/>
      <c r="I4" s="12"/>
      <c r="J4" s="14"/>
      <c r="K4" s="14"/>
      <c r="L4" s="14"/>
    </row>
    <row r="5" spans="1:12" ht="28.5" customHeight="1" x14ac:dyDescent="0.45">
      <c r="A5" s="310"/>
      <c r="B5" s="249"/>
      <c r="C5" s="249"/>
      <c r="D5" s="249"/>
      <c r="E5" s="11"/>
      <c r="F5" s="12"/>
      <c r="G5" s="13"/>
      <c r="H5" s="13"/>
      <c r="I5" s="13"/>
      <c r="J5" s="12"/>
      <c r="K5" s="14"/>
      <c r="L5" s="16"/>
    </row>
    <row r="6" spans="1:12" ht="29.25" customHeight="1" thickBot="1" x14ac:dyDescent="0.25">
      <c r="A6" s="313"/>
      <c r="B6" s="313"/>
      <c r="C6" s="313"/>
      <c r="D6" s="9"/>
      <c r="E6" s="17"/>
      <c r="F6" s="7"/>
      <c r="G6" s="7"/>
      <c r="H6" s="7"/>
      <c r="I6" s="17"/>
      <c r="J6" s="18"/>
      <c r="K6" s="19"/>
      <c r="L6" s="18"/>
    </row>
    <row r="7" spans="1:12" ht="18" customHeight="1" x14ac:dyDescent="0.2">
      <c r="A7" s="242"/>
      <c r="B7" s="240"/>
      <c r="C7" s="240"/>
      <c r="D7" s="240"/>
      <c r="E7" s="240"/>
      <c r="F7" s="241"/>
      <c r="G7" s="261"/>
      <c r="H7" s="240"/>
      <c r="I7" s="240"/>
      <c r="J7" s="240"/>
      <c r="K7" s="240"/>
      <c r="L7" s="241"/>
    </row>
    <row r="8" spans="1:12" ht="18" customHeight="1" x14ac:dyDescent="0.2">
      <c r="A8" s="246"/>
      <c r="B8" s="244"/>
      <c r="C8" s="244"/>
      <c r="D8" s="244"/>
      <c r="E8" s="244"/>
      <c r="F8" s="245"/>
      <c r="G8" s="262"/>
      <c r="H8" s="244"/>
      <c r="I8" s="244"/>
      <c r="J8" s="244"/>
      <c r="K8" s="244"/>
      <c r="L8" s="245"/>
    </row>
    <row r="9" spans="1:12" ht="18" customHeight="1" x14ac:dyDescent="0.2">
      <c r="A9" s="246"/>
      <c r="B9" s="244"/>
      <c r="C9" s="244"/>
      <c r="D9" s="244"/>
      <c r="E9" s="244"/>
      <c r="F9" s="245"/>
      <c r="G9" s="262"/>
      <c r="H9" s="244"/>
      <c r="I9" s="244"/>
      <c r="J9" s="244"/>
      <c r="K9" s="244"/>
      <c r="L9" s="245"/>
    </row>
    <row r="10" spans="1:12" ht="18" customHeight="1" x14ac:dyDescent="0.2">
      <c r="A10" s="325"/>
      <c r="B10" s="244"/>
      <c r="C10" s="244"/>
      <c r="D10" s="244"/>
      <c r="E10" s="244"/>
      <c r="F10" s="245"/>
      <c r="G10" s="325"/>
      <c r="H10" s="244"/>
      <c r="I10" s="244"/>
      <c r="J10" s="244"/>
      <c r="K10" s="244"/>
      <c r="L10" s="245"/>
    </row>
    <row r="11" spans="1:12" ht="18" customHeight="1" x14ac:dyDescent="0.2">
      <c r="A11" s="324"/>
      <c r="B11" s="256"/>
      <c r="C11" s="256"/>
      <c r="D11" s="256"/>
      <c r="E11" s="256"/>
      <c r="F11" s="257"/>
      <c r="G11" s="324"/>
      <c r="H11" s="256"/>
      <c r="I11" s="256"/>
      <c r="J11" s="256"/>
      <c r="K11" s="256"/>
      <c r="L11" s="257"/>
    </row>
    <row r="12" spans="1:12" ht="18" customHeight="1" x14ac:dyDescent="0.2">
      <c r="A12" s="261" t="s">
        <v>159</v>
      </c>
      <c r="B12" s="240"/>
      <c r="C12" s="240"/>
      <c r="D12" s="240"/>
      <c r="E12" s="240"/>
      <c r="F12" s="241"/>
      <c r="G12" s="390" t="s">
        <v>12</v>
      </c>
      <c r="H12" s="244"/>
      <c r="I12" s="244"/>
      <c r="J12" s="244"/>
      <c r="K12" s="244"/>
      <c r="L12" s="245"/>
    </row>
    <row r="13" spans="1:12" ht="18" customHeight="1" x14ac:dyDescent="0.2">
      <c r="A13" s="262" t="s">
        <v>229</v>
      </c>
      <c r="B13" s="244"/>
      <c r="C13" s="244"/>
      <c r="D13" s="244"/>
      <c r="E13" s="244"/>
      <c r="F13" s="245"/>
      <c r="G13" s="260" t="s">
        <v>167</v>
      </c>
      <c r="H13" s="244"/>
      <c r="I13" s="244"/>
      <c r="J13" s="244"/>
      <c r="K13" s="244"/>
      <c r="L13" s="245"/>
    </row>
    <row r="14" spans="1:12" ht="18" customHeight="1" x14ac:dyDescent="0.2">
      <c r="A14" s="262" t="s">
        <v>178</v>
      </c>
      <c r="B14" s="244"/>
      <c r="C14" s="244"/>
      <c r="D14" s="244"/>
      <c r="E14" s="244"/>
      <c r="F14" s="245"/>
      <c r="G14" s="260" t="s">
        <v>178</v>
      </c>
      <c r="H14" s="244"/>
      <c r="I14" s="244"/>
      <c r="J14" s="244"/>
      <c r="K14" s="244"/>
      <c r="L14" s="245"/>
    </row>
    <row r="15" spans="1:12" ht="18" customHeight="1" x14ac:dyDescent="0.2">
      <c r="A15" s="325"/>
      <c r="B15" s="244"/>
      <c r="C15" s="244"/>
      <c r="D15" s="244"/>
      <c r="E15" s="244"/>
      <c r="F15" s="245"/>
      <c r="G15" s="325"/>
      <c r="H15" s="244"/>
      <c r="I15" s="244"/>
      <c r="J15" s="244"/>
      <c r="K15" s="244"/>
      <c r="L15" s="245"/>
    </row>
    <row r="16" spans="1:12" ht="18" customHeight="1" x14ac:dyDescent="0.2">
      <c r="A16" s="324"/>
      <c r="B16" s="256"/>
      <c r="C16" s="256"/>
      <c r="D16" s="256"/>
      <c r="E16" s="256"/>
      <c r="F16" s="257"/>
      <c r="G16" s="324"/>
      <c r="H16" s="256"/>
      <c r="I16" s="256"/>
      <c r="J16" s="256"/>
      <c r="K16" s="256"/>
      <c r="L16" s="257"/>
    </row>
    <row r="18" spans="1:15" ht="32" x14ac:dyDescent="0.2">
      <c r="A18" s="23" t="s">
        <v>162</v>
      </c>
      <c r="B18" s="23" t="s">
        <v>105</v>
      </c>
      <c r="C18" s="23" t="s">
        <v>106</v>
      </c>
      <c r="D18" s="314" t="s">
        <v>107</v>
      </c>
      <c r="E18" s="315"/>
      <c r="F18" s="23" t="s">
        <v>108</v>
      </c>
      <c r="G18" s="23" t="s">
        <v>109</v>
      </c>
      <c r="H18" s="23" t="s">
        <v>110</v>
      </c>
      <c r="I18" s="183" t="s">
        <v>111</v>
      </c>
      <c r="J18" s="183" t="s">
        <v>112</v>
      </c>
      <c r="K18" s="23" t="s">
        <v>113</v>
      </c>
      <c r="L18" s="23" t="s">
        <v>114</v>
      </c>
      <c r="M18" s="24"/>
      <c r="N18" s="24"/>
      <c r="O18" s="24"/>
    </row>
    <row r="19" spans="1:15" ht="30" customHeight="1" x14ac:dyDescent="0.2">
      <c r="A19" s="25" t="str">
        <f>IF(B19="","","01:00:00")</f>
        <v/>
      </c>
      <c r="B19" s="26" t="str" cm="1">
        <f t="array" ref="B19">IFERROR(_xlfn._xlws.FILTER('TITLE LIST'!A:N,('TITLE LIST'!N:N="AENG FMALLN")+('TITLE LIST'!N:N="GENG FMALLN")+('TITLE LIST'!N:N="ASOT ONLYALLN")+('TITLE LIST'!N:N="GSOT ONLYALLN")+('TITLE LIST'!N:N="AENG FM11AN")+('TITLE LIST'!N:N="GENG FM11AN")+('TITLE LIST'!N:N="ASOT ONLY11AN")+('TITLE LIST'!N:N="GSOT ONLY11AN")+('TITLE LIST'!N:N="GENG FMALLY")+('TITLE LIST'!N:N="GSOT ONLYALLY")+('TITLE LIST'!N:N="GENG FM11AY")+('TITLE LIST'!N:N="GSOT ONLY11AY")),"")</f>
        <v/>
      </c>
      <c r="C19" s="119"/>
      <c r="D19" s="184"/>
      <c r="E19" s="184"/>
      <c r="F19" s="123"/>
      <c r="G19" s="123"/>
      <c r="H19" s="185"/>
      <c r="I19" s="139"/>
      <c r="J19" s="139"/>
      <c r="K19" s="119"/>
      <c r="L19" s="123"/>
      <c r="M19" s="29"/>
      <c r="N19" s="29"/>
      <c r="O19" s="29"/>
    </row>
    <row r="20" spans="1:15" ht="30" customHeight="1" x14ac:dyDescent="0.2">
      <c r="A20" s="25" t="str">
        <f t="shared" ref="A20:A38" si="0">IF(B20="","",(TEXT(A19+(SUM(F19)+5)/86400,"hh:mm:ss")))</f>
        <v/>
      </c>
      <c r="B20" s="26"/>
      <c r="C20" s="119"/>
      <c r="D20" s="119"/>
      <c r="E20" s="119"/>
      <c r="F20" s="123"/>
      <c r="G20" s="123"/>
      <c r="H20" s="131"/>
      <c r="I20" s="139"/>
      <c r="J20" s="139"/>
      <c r="K20" s="119"/>
      <c r="L20" s="123"/>
      <c r="M20" s="29"/>
      <c r="N20" s="29"/>
      <c r="O20" s="29"/>
    </row>
    <row r="21" spans="1:15" ht="30" customHeight="1" x14ac:dyDescent="0.2">
      <c r="A21" s="25" t="str">
        <f t="shared" si="0"/>
        <v/>
      </c>
      <c r="B21" s="26"/>
      <c r="C21" s="119"/>
      <c r="D21" s="119"/>
      <c r="E21" s="119"/>
      <c r="F21" s="123"/>
      <c r="G21" s="123"/>
      <c r="H21" s="131"/>
      <c r="I21" s="139"/>
      <c r="J21" s="139"/>
      <c r="K21" s="119"/>
      <c r="L21" s="123"/>
      <c r="M21" s="29"/>
      <c r="N21" s="29"/>
      <c r="O21" s="29"/>
    </row>
    <row r="22" spans="1:15" ht="30" customHeight="1" x14ac:dyDescent="0.2">
      <c r="A22" s="25" t="str">
        <f t="shared" si="0"/>
        <v/>
      </c>
      <c r="B22" s="28"/>
      <c r="C22" s="120"/>
      <c r="D22" s="120"/>
      <c r="E22" s="120"/>
      <c r="F22" s="31"/>
      <c r="G22" s="31"/>
      <c r="H22" s="132"/>
      <c r="I22" s="140"/>
      <c r="J22" s="140"/>
      <c r="K22" s="120"/>
      <c r="L22" s="31"/>
      <c r="M22" s="29"/>
      <c r="N22" s="29"/>
      <c r="O22" s="29"/>
    </row>
    <row r="23" spans="1:15" ht="30" customHeight="1" x14ac:dyDescent="0.2">
      <c r="A23" s="25" t="str">
        <f t="shared" si="0"/>
        <v/>
      </c>
      <c r="B23" s="28"/>
      <c r="C23" s="170"/>
      <c r="D23" s="170"/>
      <c r="E23" s="170"/>
      <c r="F23" s="124"/>
      <c r="G23" s="124"/>
      <c r="H23" s="133"/>
      <c r="I23" s="140"/>
      <c r="J23" s="140"/>
      <c r="K23" s="170"/>
      <c r="L23" s="124"/>
      <c r="M23" s="29"/>
      <c r="N23" s="29"/>
      <c r="O23" s="29"/>
    </row>
    <row r="24" spans="1:15" ht="30" customHeight="1" x14ac:dyDescent="0.2">
      <c r="A24" s="25" t="str">
        <f t="shared" si="0"/>
        <v/>
      </c>
      <c r="B24" s="28"/>
      <c r="C24" s="170"/>
      <c r="D24" s="170"/>
      <c r="E24" s="170"/>
      <c r="F24" s="124"/>
      <c r="G24" s="124"/>
      <c r="H24" s="133"/>
      <c r="I24" s="140"/>
      <c r="J24" s="140"/>
      <c r="K24" s="170"/>
      <c r="L24" s="124"/>
      <c r="M24" s="29"/>
      <c r="N24" s="29"/>
      <c r="O24" s="29"/>
    </row>
    <row r="25" spans="1:15" ht="30" customHeight="1" x14ac:dyDescent="0.2">
      <c r="A25" s="25" t="str">
        <f t="shared" si="0"/>
        <v/>
      </c>
      <c r="B25" s="28"/>
      <c r="C25" s="170"/>
      <c r="D25" s="170"/>
      <c r="E25" s="170"/>
      <c r="F25" s="124"/>
      <c r="G25" s="124"/>
      <c r="H25" s="133"/>
      <c r="I25" s="140"/>
      <c r="J25" s="140"/>
      <c r="K25" s="170"/>
      <c r="L25" s="124"/>
      <c r="M25" s="29"/>
      <c r="N25" s="29"/>
      <c r="O25" s="29"/>
    </row>
    <row r="26" spans="1:15" ht="30" customHeight="1" x14ac:dyDescent="0.2">
      <c r="A26" s="25" t="str">
        <f t="shared" si="0"/>
        <v/>
      </c>
      <c r="B26" s="28"/>
      <c r="C26" s="120"/>
      <c r="D26" s="120"/>
      <c r="E26" s="120"/>
      <c r="F26" s="31"/>
      <c r="G26" s="31"/>
      <c r="H26" s="132"/>
      <c r="I26" s="140"/>
      <c r="J26" s="140"/>
      <c r="K26" s="120"/>
      <c r="L26" s="124"/>
      <c r="M26" s="29"/>
      <c r="N26" s="29"/>
      <c r="O26" s="29"/>
    </row>
    <row r="27" spans="1:15" ht="30" customHeight="1" x14ac:dyDescent="0.2">
      <c r="A27" s="25" t="str">
        <f t="shared" si="0"/>
        <v/>
      </c>
      <c r="B27" s="28"/>
      <c r="C27" s="120"/>
      <c r="D27" s="120"/>
      <c r="E27" s="120"/>
      <c r="F27" s="31"/>
      <c r="G27" s="31"/>
      <c r="H27" s="132"/>
      <c r="I27" s="140"/>
      <c r="J27" s="140"/>
      <c r="K27" s="120"/>
      <c r="L27" s="124"/>
      <c r="M27" s="6"/>
      <c r="N27" s="6"/>
      <c r="O27" s="6"/>
    </row>
    <row r="28" spans="1:15" ht="30" customHeight="1" x14ac:dyDescent="0.2">
      <c r="A28" s="25" t="str">
        <f t="shared" si="0"/>
        <v/>
      </c>
      <c r="B28" s="28"/>
      <c r="C28" s="120"/>
      <c r="D28" s="120"/>
      <c r="E28" s="120"/>
      <c r="F28" s="31"/>
      <c r="G28" s="31"/>
      <c r="H28" s="132"/>
      <c r="I28" s="140"/>
      <c r="J28" s="140"/>
      <c r="K28" s="120"/>
      <c r="L28" s="124"/>
      <c r="M28" s="6"/>
      <c r="N28" s="6"/>
      <c r="O28" s="6"/>
    </row>
    <row r="29" spans="1:15" ht="30" customHeight="1" x14ac:dyDescent="0.2">
      <c r="A29" s="25" t="str">
        <f t="shared" si="0"/>
        <v/>
      </c>
      <c r="B29" s="28"/>
      <c r="C29" s="120"/>
      <c r="D29" s="120"/>
      <c r="E29" s="120"/>
      <c r="F29" s="31"/>
      <c r="G29" s="31"/>
      <c r="H29" s="132"/>
      <c r="I29" s="140"/>
      <c r="J29" s="140"/>
      <c r="K29" s="120"/>
      <c r="L29" s="124"/>
      <c r="M29" s="6"/>
      <c r="N29" s="6"/>
      <c r="O29" s="6"/>
    </row>
    <row r="30" spans="1:15" ht="30" customHeight="1" x14ac:dyDescent="0.2">
      <c r="A30" s="25" t="str">
        <f t="shared" si="0"/>
        <v/>
      </c>
      <c r="B30" s="28"/>
      <c r="C30" s="120"/>
      <c r="D30" s="120"/>
      <c r="E30" s="120"/>
      <c r="F30" s="31"/>
      <c r="G30" s="31"/>
      <c r="H30" s="132"/>
      <c r="I30" s="140"/>
      <c r="J30" s="140"/>
      <c r="K30" s="120"/>
      <c r="L30" s="124"/>
      <c r="M30" s="6"/>
      <c r="N30" s="6"/>
      <c r="O30" s="6"/>
    </row>
    <row r="31" spans="1:15" ht="30" customHeight="1" x14ac:dyDescent="0.2">
      <c r="A31" s="25" t="str">
        <f t="shared" si="0"/>
        <v/>
      </c>
      <c r="B31" s="28"/>
      <c r="C31" s="120"/>
      <c r="D31" s="120"/>
      <c r="E31" s="120"/>
      <c r="F31" s="31"/>
      <c r="G31" s="31"/>
      <c r="H31" s="132"/>
      <c r="I31" s="140"/>
      <c r="J31" s="140"/>
      <c r="K31" s="120"/>
      <c r="L31" s="124"/>
      <c r="M31" s="6"/>
      <c r="N31" s="6"/>
      <c r="O31" s="6"/>
    </row>
    <row r="32" spans="1:15" ht="30" customHeight="1" x14ac:dyDescent="0.2">
      <c r="A32" s="25" t="str">
        <f t="shared" si="0"/>
        <v/>
      </c>
      <c r="B32" s="28"/>
      <c r="C32" s="120"/>
      <c r="D32" s="120"/>
      <c r="E32" s="120"/>
      <c r="F32" s="31"/>
      <c r="G32" s="31"/>
      <c r="H32" s="132"/>
      <c r="I32" s="140"/>
      <c r="J32" s="140"/>
      <c r="K32" s="120"/>
      <c r="L32" s="31"/>
      <c r="M32" s="6"/>
      <c r="N32" s="6"/>
      <c r="O32" s="6"/>
    </row>
    <row r="33" spans="1:15" ht="30" customHeight="1" x14ac:dyDescent="0.2">
      <c r="A33" s="25" t="str">
        <f t="shared" si="0"/>
        <v/>
      </c>
      <c r="B33" s="28"/>
      <c r="C33" s="120"/>
      <c r="D33" s="120"/>
      <c r="E33" s="120"/>
      <c r="F33" s="31"/>
      <c r="G33" s="31"/>
      <c r="H33" s="132"/>
      <c r="I33" s="140"/>
      <c r="J33" s="140"/>
      <c r="K33" s="120"/>
      <c r="L33" s="31"/>
      <c r="M33" s="6"/>
      <c r="N33" s="6"/>
      <c r="O33" s="6"/>
    </row>
    <row r="34" spans="1:15" ht="30" customHeight="1" x14ac:dyDescent="0.2">
      <c r="A34" s="25" t="str">
        <f t="shared" si="0"/>
        <v/>
      </c>
      <c r="B34" s="28"/>
      <c r="C34" s="120"/>
      <c r="D34" s="120"/>
      <c r="E34" s="120"/>
      <c r="F34" s="31"/>
      <c r="G34" s="31"/>
      <c r="H34" s="132"/>
      <c r="I34" s="140"/>
      <c r="J34" s="140"/>
      <c r="K34" s="120"/>
      <c r="L34" s="124"/>
      <c r="M34" s="6"/>
      <c r="N34" s="6"/>
      <c r="O34" s="6"/>
    </row>
    <row r="35" spans="1:15" ht="30" customHeight="1" x14ac:dyDescent="0.2">
      <c r="A35" s="25" t="str">
        <f t="shared" si="0"/>
        <v/>
      </c>
      <c r="B35" s="28"/>
      <c r="C35" s="120"/>
      <c r="D35" s="120"/>
      <c r="E35" s="120"/>
      <c r="F35" s="31"/>
      <c r="G35" s="31"/>
      <c r="H35" s="132"/>
      <c r="I35" s="140"/>
      <c r="J35" s="140"/>
      <c r="K35" s="120"/>
      <c r="L35" s="124"/>
      <c r="M35" s="6"/>
      <c r="N35" s="6"/>
      <c r="O35" s="6"/>
    </row>
    <row r="36" spans="1:15" ht="30" customHeight="1" x14ac:dyDescent="0.2">
      <c r="A36" s="25" t="str">
        <f t="shared" si="0"/>
        <v/>
      </c>
      <c r="B36" s="28"/>
      <c r="C36" s="120"/>
      <c r="D36" s="120"/>
      <c r="E36" s="120"/>
      <c r="F36" s="31"/>
      <c r="G36" s="31"/>
      <c r="H36" s="132"/>
      <c r="I36" s="140"/>
      <c r="J36" s="140"/>
      <c r="K36" s="120"/>
      <c r="L36" s="31"/>
      <c r="M36" s="6"/>
      <c r="N36" s="6"/>
      <c r="O36" s="6"/>
    </row>
    <row r="37" spans="1:15" ht="30" customHeight="1" x14ac:dyDescent="0.2">
      <c r="A37" s="25" t="str">
        <f t="shared" si="0"/>
        <v/>
      </c>
      <c r="B37" s="28"/>
      <c r="C37" s="120"/>
      <c r="D37" s="120"/>
      <c r="E37" s="120"/>
      <c r="F37" s="31"/>
      <c r="G37" s="31"/>
      <c r="H37" s="132"/>
      <c r="I37" s="140"/>
      <c r="J37" s="140"/>
      <c r="K37" s="120"/>
      <c r="L37" s="31"/>
      <c r="M37" s="6"/>
      <c r="N37" s="6"/>
      <c r="O37" s="6"/>
    </row>
    <row r="38" spans="1:15" ht="30" customHeight="1" x14ac:dyDescent="0.2">
      <c r="A38" s="25" t="str">
        <f t="shared" si="0"/>
        <v/>
      </c>
      <c r="B38" s="28"/>
      <c r="C38" s="120"/>
      <c r="D38" s="120"/>
      <c r="E38" s="120"/>
      <c r="F38" s="31"/>
      <c r="G38" s="31"/>
      <c r="H38" s="132"/>
      <c r="I38" s="140"/>
      <c r="J38" s="140"/>
      <c r="K38" s="120"/>
      <c r="L38" s="31"/>
      <c r="M38" s="6"/>
      <c r="N38" s="6"/>
      <c r="O38" s="6"/>
    </row>
    <row r="39" spans="1:15" ht="30" customHeight="1" x14ac:dyDescent="0.2">
      <c r="A39" s="25" t="str">
        <f t="shared" ref="A39:A45" si="1">IF(B39="","",(TEXT(A38+(SUM(F38)+5)/86400,"hh:mm:ss")))</f>
        <v/>
      </c>
      <c r="B39" s="28"/>
      <c r="C39" s="120"/>
      <c r="D39" s="120"/>
      <c r="E39" s="120"/>
      <c r="F39" s="31"/>
      <c r="G39" s="31"/>
      <c r="H39" s="132"/>
      <c r="I39" s="140"/>
      <c r="J39" s="140"/>
      <c r="K39" s="120"/>
      <c r="L39" s="31"/>
      <c r="M39" s="6"/>
      <c r="N39" s="6"/>
      <c r="O39" s="6"/>
    </row>
    <row r="40" spans="1:15" ht="30" customHeight="1" x14ac:dyDescent="0.2">
      <c r="A40" s="25" t="str">
        <f t="shared" si="1"/>
        <v/>
      </c>
      <c r="B40" s="28"/>
      <c r="C40" s="120"/>
      <c r="D40" s="120"/>
      <c r="E40" s="120"/>
      <c r="F40" s="31"/>
      <c r="G40" s="31"/>
      <c r="H40" s="132"/>
      <c r="I40" s="140"/>
      <c r="J40" s="140"/>
      <c r="K40" s="120"/>
      <c r="L40" s="31"/>
      <c r="M40" s="6"/>
      <c r="N40" s="6"/>
      <c r="O40" s="6"/>
    </row>
    <row r="41" spans="1:15" ht="30" customHeight="1" x14ac:dyDescent="0.2">
      <c r="A41" s="25" t="str">
        <f t="shared" si="1"/>
        <v/>
      </c>
      <c r="B41" s="28"/>
      <c r="C41" s="120"/>
      <c r="D41" s="120"/>
      <c r="E41" s="120"/>
      <c r="F41" s="31"/>
      <c r="G41" s="31"/>
      <c r="H41" s="132"/>
      <c r="I41" s="140"/>
      <c r="J41" s="140"/>
      <c r="K41" s="120"/>
      <c r="L41" s="124"/>
      <c r="M41" s="6"/>
      <c r="N41" s="6"/>
      <c r="O41" s="6"/>
    </row>
    <row r="42" spans="1:15" ht="30" customHeight="1" x14ac:dyDescent="0.2">
      <c r="A42" s="25" t="str">
        <f t="shared" si="1"/>
        <v/>
      </c>
      <c r="B42" s="28"/>
      <c r="C42" s="120"/>
      <c r="D42" s="120"/>
      <c r="E42" s="120"/>
      <c r="F42" s="31"/>
      <c r="G42" s="31"/>
      <c r="H42" s="132"/>
      <c r="I42" s="140"/>
      <c r="J42" s="140"/>
      <c r="K42" s="120"/>
      <c r="L42" s="124"/>
      <c r="M42" s="6"/>
      <c r="N42" s="6"/>
      <c r="O42" s="6"/>
    </row>
    <row r="43" spans="1:15" ht="30" customHeight="1" x14ac:dyDescent="0.2">
      <c r="A43" s="25" t="str">
        <f t="shared" si="1"/>
        <v/>
      </c>
      <c r="B43" s="28"/>
      <c r="C43" s="120"/>
      <c r="D43" s="120"/>
      <c r="E43" s="120"/>
      <c r="F43" s="31"/>
      <c r="G43" s="31"/>
      <c r="H43" s="132"/>
      <c r="I43" s="140"/>
      <c r="J43" s="140"/>
      <c r="K43" s="120"/>
      <c r="L43" s="31"/>
      <c r="M43" s="6"/>
      <c r="N43" s="6"/>
      <c r="O43" s="6"/>
    </row>
    <row r="44" spans="1:15" ht="30" customHeight="1" x14ac:dyDescent="0.2">
      <c r="A44" s="25" t="str">
        <f t="shared" si="1"/>
        <v/>
      </c>
      <c r="B44" s="28"/>
      <c r="C44" s="120"/>
      <c r="D44" s="120"/>
      <c r="E44" s="120"/>
      <c r="F44" s="31"/>
      <c r="G44" s="31"/>
      <c r="H44" s="132"/>
      <c r="I44" s="140"/>
      <c r="J44" s="140"/>
      <c r="K44" s="120"/>
      <c r="L44" s="31"/>
      <c r="M44" s="6"/>
      <c r="N44" s="6"/>
      <c r="O44" s="6"/>
    </row>
    <row r="45" spans="1:15" ht="30" customHeight="1" x14ac:dyDescent="0.2">
      <c r="A45" s="25" t="str">
        <f t="shared" si="1"/>
        <v/>
      </c>
      <c r="B45" s="28"/>
      <c r="C45" s="120"/>
      <c r="D45" s="120"/>
      <c r="E45" s="120"/>
      <c r="F45" s="31"/>
      <c r="G45" s="31"/>
      <c r="H45" s="132"/>
      <c r="I45" s="140"/>
      <c r="J45" s="140"/>
      <c r="K45" s="120"/>
      <c r="L45" s="31"/>
      <c r="M45" s="6"/>
      <c r="N45" s="6"/>
      <c r="O45" s="6"/>
    </row>
  </sheetData>
  <mergeCells count="27">
    <mergeCell ref="A6:C6"/>
    <mergeCell ref="D18:E18"/>
    <mergeCell ref="A7:F7"/>
    <mergeCell ref="A8:F8"/>
    <mergeCell ref="A9:F9"/>
    <mergeCell ref="A10:F10"/>
    <mergeCell ref="A11:F11"/>
    <mergeCell ref="A12:F12"/>
    <mergeCell ref="A13:F13"/>
    <mergeCell ref="G7:L7"/>
    <mergeCell ref="A14:F14"/>
    <mergeCell ref="A15:F15"/>
    <mergeCell ref="A16:F16"/>
    <mergeCell ref="G15:L15"/>
    <mergeCell ref="G16:L16"/>
    <mergeCell ref="G8:L8"/>
    <mergeCell ref="G9:L9"/>
    <mergeCell ref="G10:L10"/>
    <mergeCell ref="G11:L11"/>
    <mergeCell ref="G12:L12"/>
    <mergeCell ref="G13:L13"/>
    <mergeCell ref="G14:L14"/>
    <mergeCell ref="A1:L1"/>
    <mergeCell ref="A2:C2"/>
    <mergeCell ref="A3:D3"/>
    <mergeCell ref="A4:C4"/>
    <mergeCell ref="A5:D5"/>
  </mergeCells>
  <pageMargins left="0.70866141732283505" right="0.70866141732283505" top="0.74803149606299202" bottom="0.74803149606299202" header="0" footer="0"/>
  <pageSetup scale="45" orientation="landscape"/>
  <headerFooter>
    <oddFooter>&amp;C&amp;"Calibri,Regular"&amp;K00000010 Changi Business Park Central 2, #03-08 Hansapoint @CBP, Singapore 486030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>
    <tabColor rgb="FF000000"/>
    <outlinePr summaryBelow="0" summaryRight="0"/>
    <pageSetUpPr fitToPage="1"/>
  </sheetPr>
  <dimension ref="B2:F19"/>
  <sheetViews>
    <sheetView showZeros="0" zoomScale="130" zoomScaleNormal="130" workbookViewId="0">
      <pane ySplit="22" topLeftCell="A23" activePane="bottomLeft" state="frozen"/>
      <selection pane="bottomLeft" activeCell="A12" sqref="A12"/>
    </sheetView>
  </sheetViews>
  <sheetFormatPr baseColWidth="10" defaultColWidth="14.5" defaultRowHeight="15" customHeight="1" x14ac:dyDescent="0.2"/>
  <cols>
    <col min="1" max="1" width="7.33203125" style="227" customWidth="1"/>
    <col min="2" max="5" width="15.5" style="227" customWidth="1"/>
    <col min="6" max="16384" width="14.5" style="227"/>
  </cols>
  <sheetData>
    <row r="2" spans="2:6" ht="14.25" customHeight="1" x14ac:dyDescent="0.2">
      <c r="B2" s="403" t="s">
        <v>241</v>
      </c>
      <c r="C2" s="403"/>
      <c r="D2" s="403"/>
      <c r="E2" s="403"/>
      <c r="F2" s="403"/>
    </row>
    <row r="3" spans="2:6" ht="15" customHeight="1" x14ac:dyDescent="0.2">
      <c r="B3" s="403"/>
      <c r="C3" s="403"/>
      <c r="D3" s="403"/>
      <c r="E3" s="403"/>
      <c r="F3" s="403"/>
    </row>
    <row r="4" spans="2:6" ht="14.25" customHeight="1" x14ac:dyDescent="0.2">
      <c r="B4" s="404" t="s">
        <v>242</v>
      </c>
      <c r="C4" s="404"/>
      <c r="D4" s="404"/>
      <c r="E4" s="404"/>
      <c r="F4" s="404"/>
    </row>
    <row r="5" spans="2:6" ht="15" customHeight="1" x14ac:dyDescent="0.2">
      <c r="B5" s="404"/>
      <c r="C5" s="404"/>
      <c r="D5" s="404"/>
      <c r="E5" s="404"/>
      <c r="F5" s="404"/>
    </row>
    <row r="6" spans="2:6" ht="15" customHeight="1" x14ac:dyDescent="0.2">
      <c r="B6" s="229"/>
      <c r="C6" s="229"/>
      <c r="D6" s="229"/>
      <c r="E6" s="229"/>
      <c r="F6" s="229"/>
    </row>
    <row r="7" spans="2:6" ht="18" customHeight="1" x14ac:dyDescent="0.2">
      <c r="B7" s="405" t="s">
        <v>249</v>
      </c>
      <c r="C7" s="228"/>
      <c r="D7" s="406" t="s">
        <v>251</v>
      </c>
      <c r="E7" s="406"/>
      <c r="F7" s="406"/>
    </row>
    <row r="8" spans="2:6" ht="18" customHeight="1" x14ac:dyDescent="0.2">
      <c r="B8" s="405"/>
      <c r="C8" s="228"/>
      <c r="D8" s="406"/>
      <c r="E8" s="406"/>
      <c r="F8" s="406"/>
    </row>
    <row r="10" spans="2:6" ht="15" customHeight="1" x14ac:dyDescent="0.2">
      <c r="B10" s="405" t="s">
        <v>250</v>
      </c>
      <c r="C10" s="228"/>
      <c r="D10" s="407" t="s">
        <v>252</v>
      </c>
      <c r="E10" s="407"/>
      <c r="F10" s="407"/>
    </row>
    <row r="11" spans="2:6" ht="20.75" customHeight="1" x14ac:dyDescent="0.2">
      <c r="B11" s="405"/>
      <c r="C11" s="228"/>
      <c r="D11" s="407"/>
      <c r="E11" s="407"/>
      <c r="F11" s="407"/>
    </row>
    <row r="13" spans="2:6" ht="15" customHeight="1" x14ac:dyDescent="0.2">
      <c r="B13" s="402" t="s">
        <v>253</v>
      </c>
      <c r="C13" s="402"/>
      <c r="D13" s="402"/>
      <c r="E13" s="402"/>
      <c r="F13" s="402"/>
    </row>
    <row r="14" spans="2:6" ht="18" customHeight="1" x14ac:dyDescent="0.2">
      <c r="B14" s="402"/>
      <c r="C14" s="402"/>
      <c r="D14" s="402"/>
      <c r="E14" s="402"/>
      <c r="F14" s="402"/>
    </row>
    <row r="15" spans="2:6" ht="15" customHeight="1" x14ac:dyDescent="0.2">
      <c r="B15" s="402"/>
      <c r="C15" s="402"/>
      <c r="D15" s="402"/>
      <c r="E15" s="402"/>
      <c r="F15" s="402"/>
    </row>
    <row r="16" spans="2:6" ht="15" customHeight="1" x14ac:dyDescent="0.2">
      <c r="B16" s="402"/>
      <c r="C16" s="402"/>
      <c r="D16" s="402"/>
      <c r="E16" s="402"/>
      <c r="F16" s="402"/>
    </row>
    <row r="17" spans="2:6" ht="15" customHeight="1" x14ac:dyDescent="0.2">
      <c r="B17" s="402"/>
      <c r="C17" s="402"/>
      <c r="D17" s="402"/>
      <c r="E17" s="402"/>
      <c r="F17" s="402"/>
    </row>
    <row r="18" spans="2:6" ht="15" customHeight="1" x14ac:dyDescent="0.2">
      <c r="B18" s="402"/>
      <c r="C18" s="402"/>
      <c r="D18" s="402"/>
      <c r="E18" s="402"/>
      <c r="F18" s="402"/>
    </row>
    <row r="19" spans="2:6" ht="22.5" customHeight="1" x14ac:dyDescent="0.2">
      <c r="B19" s="402"/>
      <c r="C19" s="402"/>
      <c r="D19" s="402"/>
      <c r="E19" s="402"/>
      <c r="F19" s="402"/>
    </row>
  </sheetData>
  <sheetProtection algorithmName="SHA-512" hashValue="sPvy+0PGJhV3Qgy4R02ae4GlSpJzHRTdAeYmA5hhGuB4m4NP4C8jMmmSzx92daVQM2Dzumwzel0kMRBOAXNUaQ==" saltValue="PHmOdpaUdLwyVf8GZpWQSw==" spinCount="100000" sheet="1" objects="1" scenarios="1"/>
  <mergeCells count="7">
    <mergeCell ref="B13:F19"/>
    <mergeCell ref="B2:F3"/>
    <mergeCell ref="B4:F5"/>
    <mergeCell ref="B7:B8"/>
    <mergeCell ref="D7:F8"/>
    <mergeCell ref="B10:B11"/>
    <mergeCell ref="D10:F11"/>
  </mergeCells>
  <pageMargins left="0.70866141732283505" right="0.70866141732283505" top="0.74803149606299202" bottom="0.74803149606299202" header="0" footer="0"/>
  <pageSetup orientation="landscape" r:id="rId1"/>
  <headerFooter>
    <oddFooter>&amp;C&amp;"Calibri,Regular"&amp;K00000010 Changi Business Park Central 2, #03-08 Hansapoint @CBP, Singapore 486030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27</vt:i4>
      </vt:variant>
    </vt:vector>
  </HeadingPairs>
  <TitlesOfParts>
    <vt:vector size="57" baseType="lpstr">
      <vt:lpstr>INDEX</vt:lpstr>
      <vt:lpstr>TITLE LIST</vt:lpstr>
      <vt:lpstr>##</vt:lpstr>
      <vt:lpstr>#</vt:lpstr>
      <vt:lpstr>01B.NTV-HD</vt:lpstr>
      <vt:lpstr>01C.TVB-HD</vt:lpstr>
      <vt:lpstr>02A.MAC-SD</vt:lpstr>
      <vt:lpstr>03A.TRV-HD &amp; SD</vt:lpstr>
      <vt:lpstr>03C.Triple T-SD</vt:lpstr>
      <vt:lpstr>04B.AST-HD</vt:lpstr>
      <vt:lpstr>04D.AST-DIGITAL</vt:lpstr>
      <vt:lpstr>04E.TMNet-HD</vt:lpstr>
      <vt:lpstr>05A.ME-HD</vt:lpstr>
      <vt:lpstr>05B.SH-HD</vt:lpstr>
      <vt:lpstr>05C.EAZIE</vt:lpstr>
      <vt:lpstr>05E.ST-HD</vt:lpstr>
      <vt:lpstr>05F.PPCTV-SD</vt:lpstr>
      <vt:lpstr>05G.WEW-HD</vt:lpstr>
      <vt:lpstr>06A.MNC-HD</vt:lpstr>
      <vt:lpstr>06C.FIM-HD</vt:lpstr>
      <vt:lpstr>06D.TNV-HD</vt:lpstr>
      <vt:lpstr>06J.DensTV-HD</vt:lpstr>
      <vt:lpstr>06K.NEX-P</vt:lpstr>
      <vt:lpstr>07A.SKC-SD</vt:lpstr>
      <vt:lpstr>07C.PHP-GEN-SD</vt:lpstr>
      <vt:lpstr>07D.CIGNAL-SD</vt:lpstr>
      <vt:lpstr>08A.Media-HD</vt:lpstr>
      <vt:lpstr>08B.Dhiraagu-HD</vt:lpstr>
      <vt:lpstr>11A.Canal+-HD</vt:lpstr>
      <vt:lpstr>REFORMAT</vt:lpstr>
      <vt:lpstr>'01B.NTV-HD'!_xPROMO_Template_141224.</vt:lpstr>
      <vt:lpstr>'01C.TVB-HD'!_xPROMO_Template_141224.</vt:lpstr>
      <vt:lpstr>'02A.MAC-SD'!_xPROMO_Template_141224.</vt:lpstr>
      <vt:lpstr>'03A.TRV-HD &amp; SD'!_xPROMO_Template_141224.</vt:lpstr>
      <vt:lpstr>'03C.Triple T-SD'!_xPROMO_Template_141224.</vt:lpstr>
      <vt:lpstr>'04B.AST-HD'!_xPROMO_Template_141224.</vt:lpstr>
      <vt:lpstr>'04D.AST-DIGITAL'!_xPROMO_Template_141224.</vt:lpstr>
      <vt:lpstr>'04E.TMNet-HD'!_xPROMO_Template_141224.</vt:lpstr>
      <vt:lpstr>'05A.ME-HD'!_xPROMO_Template_141224.</vt:lpstr>
      <vt:lpstr>'05B.SH-HD'!_xPROMO_Template_141224.</vt:lpstr>
      <vt:lpstr>'05C.EAZIE'!_xPROMO_Template_141224.</vt:lpstr>
      <vt:lpstr>'05E.ST-HD'!_xPROMO_Template_141224.</vt:lpstr>
      <vt:lpstr>'05F.PPCTV-SD'!_xPROMO_Template_141224.</vt:lpstr>
      <vt:lpstr>'05G.WEW-HD'!_xPROMO_Template_141224.</vt:lpstr>
      <vt:lpstr>'06A.MNC-HD'!_xPROMO_Template_141224.</vt:lpstr>
      <vt:lpstr>'06C.FIM-HD'!_xPROMO_Template_141224.</vt:lpstr>
      <vt:lpstr>'06D.TNV-HD'!_xPROMO_Template_141224.</vt:lpstr>
      <vt:lpstr>'06J.DensTV-HD'!_xPROMO_Template_141224.</vt:lpstr>
      <vt:lpstr>'06K.NEX-P'!_xPROMO_Template_141224.</vt:lpstr>
      <vt:lpstr>'07A.SKC-SD'!_xPROMO_Template_141224.</vt:lpstr>
      <vt:lpstr>'07C.PHP-GEN-SD'!_xPROMO_Template_141224.</vt:lpstr>
      <vt:lpstr>'07D.CIGNAL-SD'!_xPROMO_Template_141224.</vt:lpstr>
      <vt:lpstr>'08A.Media-HD'!_xPROMO_Template_141224.</vt:lpstr>
      <vt:lpstr>'08B.Dhiraagu-HD'!_xPROMO_Template_141224.</vt:lpstr>
      <vt:lpstr>'11A.Canal+-HD'!_xPROMO_Template_141224.</vt:lpstr>
      <vt:lpstr>List</vt:lpstr>
      <vt:lpstr>ListS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danielwang</dc:creator>
  <cp:keywords/>
  <dc:description/>
  <cp:lastModifiedBy>Daniel Wang</cp:lastModifiedBy>
  <cp:revision/>
  <dcterms:created xsi:type="dcterms:W3CDTF">2023-04-28T06:38:21Z</dcterms:created>
  <dcterms:modified xsi:type="dcterms:W3CDTF">2023-07-25T13:42:28Z</dcterms:modified>
  <cp:category/>
  <cp:contentStatus/>
</cp:coreProperties>
</file>