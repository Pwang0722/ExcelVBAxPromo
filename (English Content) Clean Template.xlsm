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nielwang/Downloads/"/>
    </mc:Choice>
  </mc:AlternateContent>
  <xr:revisionPtr revIDLastSave="0" documentId="13_ncr:1_{23BABF4E-E85B-A046-BD81-66FBC0E9D476}" xr6:coauthVersionLast="47" xr6:coauthVersionMax="47" xr10:uidLastSave="{00000000-0000-0000-0000-000000000000}"/>
  <bookViews>
    <workbookView xWindow="200" yWindow="1000" windowWidth="31200" windowHeight="18000" tabRatio="925" activeTab="1" xr2:uid="{00000000-000D-0000-FFFF-FFFF00000000}"/>
  </bookViews>
  <sheets>
    <sheet name="INDEX" sheetId="1" r:id="rId1"/>
    <sheet name="TITLE LIST" sheetId="2" r:id="rId2"/>
    <sheet name="##" sheetId="34" r:id="rId3"/>
    <sheet name="#" sheetId="3" state="hidden" r:id="rId4"/>
    <sheet name="01B.NTV-HD" sheetId="4" r:id="rId5"/>
    <sheet name="01C.TVB-HD" sheetId="5" r:id="rId6"/>
    <sheet name="02B.MAC-HD" sheetId="6" r:id="rId7"/>
    <sheet name="03A.TRV-HD" sheetId="7" r:id="rId8"/>
    <sheet name="04A.AST-SD" sheetId="8" r:id="rId9"/>
    <sheet name="04B.AST-HD" sheetId="9" r:id="rId10"/>
    <sheet name="04D.AST-DIGITAL" sheetId="10" r:id="rId11"/>
    <sheet name="04E.TMNet-HD" sheetId="11" r:id="rId12"/>
    <sheet name="05B.SH-HD" sheetId="12" r:id="rId13"/>
    <sheet name="05C.EAZIE" sheetId="35" r:id="rId14"/>
    <sheet name="05E.ST-HD" sheetId="13" r:id="rId15"/>
    <sheet name="05F.PPCTV-SD" sheetId="14" r:id="rId16"/>
    <sheet name="05G.WEW-HD" sheetId="15" r:id="rId17"/>
    <sheet name="06A.MNC-HD" sheetId="16" r:id="rId18"/>
    <sheet name="06C.FIM-HD" sheetId="17" r:id="rId19"/>
    <sheet name="06D.TNV-HD" sheetId="18" r:id="rId20"/>
    <sheet name="06J.DensTV-HD" sheetId="20" r:id="rId21"/>
    <sheet name="06K.NEX-P" sheetId="21" r:id="rId22"/>
    <sheet name="07A.SKC-SD" sheetId="22" r:id="rId23"/>
    <sheet name="07C.PHP-GEN-SD" sheetId="23" r:id="rId24"/>
    <sheet name="07D.CIGNAL-SD" sheetId="24" r:id="rId25"/>
    <sheet name="08A.Media-HD" sheetId="25" r:id="rId26"/>
    <sheet name="08B.Dhiraagu-HD" sheetId="27" r:id="rId27"/>
    <sheet name="10A.QNET-HD" sheetId="28" r:id="rId28"/>
    <sheet name="11A.Canal+-HD" sheetId="29" r:id="rId29"/>
    <sheet name="11B.SkyNet-HD" sheetId="30" r:id="rId30"/>
    <sheet name="12A.Digicel-HD" sheetId="31" r:id="rId31"/>
    <sheet name="13A.DIALOG TV" sheetId="32" r:id="rId32"/>
    <sheet name="REFORMAT" sheetId="33" r:id="rId33"/>
  </sheets>
  <definedNames>
    <definedName name="_xPROMO_Template_141224." localSheetId="4">'01B.NTV-HD'!$A$6</definedName>
    <definedName name="_xPROMO_Template_141224." localSheetId="5">'01C.TVB-HD'!$A$6</definedName>
    <definedName name="_xPROMO_Template_141224." localSheetId="6">'02B.MAC-HD'!$A$6</definedName>
    <definedName name="_xPROMO_Template_141224." localSheetId="7">'03A.TRV-HD'!$A$6</definedName>
    <definedName name="_xPROMO_Template_141224." localSheetId="8">'04A.AST-SD'!$A$6</definedName>
    <definedName name="_xPROMO_Template_141224." localSheetId="9">'04B.AST-HD'!$A$6</definedName>
    <definedName name="_xPROMO_Template_141224." localSheetId="10">'04D.AST-DIGITAL'!$A$6</definedName>
    <definedName name="_xPROMO_Template_141224." localSheetId="11">'04E.TMNet-HD'!$A$6</definedName>
    <definedName name="_xPROMO_Template_141224." localSheetId="12">'05B.SH-HD'!$A$6</definedName>
    <definedName name="_xPROMO_Template_141224." localSheetId="13">'05C.EAZIE'!$A$6</definedName>
    <definedName name="_xPROMO_Template_141224." localSheetId="14">'05E.ST-HD'!$A$6</definedName>
    <definedName name="_xPROMO_Template_141224." localSheetId="15">'05F.PPCTV-SD'!$A$6</definedName>
    <definedName name="_xPROMO_Template_141224." localSheetId="16">'05G.WEW-HD'!$A$6</definedName>
    <definedName name="_xPROMO_Template_141224." localSheetId="17">'06A.MNC-HD'!$A$6</definedName>
    <definedName name="_xPROMO_Template_141224." localSheetId="18">'06C.FIM-HD'!$A$6</definedName>
    <definedName name="_xPROMO_Template_141224." localSheetId="19">'06D.TNV-HD'!$A$6</definedName>
    <definedName name="_xPROMO_Template_141224." localSheetId="20">'06J.DensTV-HD'!$A$6</definedName>
    <definedName name="_xPROMO_Template_141224." localSheetId="21">'06K.NEX-P'!$A$6</definedName>
    <definedName name="_xPROMO_Template_141224." localSheetId="22">'07A.SKC-SD'!$A$6</definedName>
    <definedName name="_xPROMO_Template_141224." localSheetId="23">'07C.PHP-GEN-SD'!$A$6</definedName>
    <definedName name="_xPROMO_Template_141224." localSheetId="24">'07D.CIGNAL-SD'!$A$6</definedName>
    <definedName name="_xPROMO_Template_141224." localSheetId="25">'08A.Media-HD'!$A$6</definedName>
    <definedName name="_xPROMO_Template_141224." localSheetId="26">'08B.Dhiraagu-HD'!$A$6</definedName>
    <definedName name="_xPROMO_Template_141224." localSheetId="27">'10A.QNET-HD'!$A$6</definedName>
    <definedName name="_xPROMO_Template_141224." localSheetId="28">'11A.Canal+-HD'!$A$6</definedName>
    <definedName name="_xPROMO_Template_141224." localSheetId="29">'11B.SkyNet-HD'!$A$6</definedName>
    <definedName name="_xPROMO_Template_141224." localSheetId="30">'12A.Digicel-HD'!$A$6</definedName>
    <definedName name="_xPROMO_Template_141224." localSheetId="31">'13A.DIALOG TV'!$A$6</definedName>
    <definedName name="_xPROMO_Template_141224.">#REF!</definedName>
    <definedName name="List" localSheetId="1">'TITLE LIST'!$A$3:$M$110</definedName>
    <definedName name="xPROMO_Template_1905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35" l="1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3" i="2"/>
  <c r="B19" i="35" l="1" a="1"/>
  <c r="B19" i="35" s="1"/>
  <c r="A19" i="35" s="1"/>
  <c r="A20" i="35" s="1"/>
  <c r="A21" i="35" s="1"/>
  <c r="B19" i="13" a="1"/>
  <c r="B19" i="13" s="1"/>
  <c r="B19" i="32" a="1"/>
  <c r="B19" i="32" s="1"/>
  <c r="B19" i="29" a="1"/>
  <c r="B19" i="29" s="1"/>
  <c r="B19" i="30" a="1"/>
  <c r="B19" i="30" s="1"/>
  <c r="B19" i="31" a="1"/>
  <c r="B19" i="31" s="1"/>
  <c r="B19" i="20" a="1"/>
  <c r="B19" i="20" s="1"/>
  <c r="B19" i="21" a="1"/>
  <c r="B19" i="21" s="1"/>
  <c r="B19" i="18" a="1"/>
  <c r="B19" i="18" s="1"/>
  <c r="B19" i="22" a="1"/>
  <c r="B19" i="22" s="1"/>
  <c r="B19" i="14" a="1"/>
  <c r="B19" i="14" s="1"/>
  <c r="B19" i="23" a="1"/>
  <c r="B19" i="23" s="1"/>
  <c r="B19" i="15" a="1"/>
  <c r="B19" i="15" s="1"/>
  <c r="B19" i="24" a="1"/>
  <c r="B19" i="24" s="1"/>
  <c r="B19" i="16" a="1"/>
  <c r="B19" i="16" s="1"/>
  <c r="B19" i="25" a="1"/>
  <c r="B19" i="25" s="1"/>
  <c r="B19" i="17" a="1"/>
  <c r="B19" i="17" s="1"/>
  <c r="B19" i="27" a="1"/>
  <c r="B19" i="27" s="1"/>
  <c r="B19" i="28" a="1"/>
  <c r="B19" i="28" s="1"/>
  <c r="B19" i="7" a="1"/>
  <c r="B19" i="7" s="1"/>
  <c r="B19" i="8" a="1"/>
  <c r="B19" i="8" s="1"/>
  <c r="B19" i="9" a="1"/>
  <c r="B19" i="9" s="1"/>
  <c r="B19" i="10" a="1"/>
  <c r="B19" i="10" s="1"/>
  <c r="B19" i="11" a="1"/>
  <c r="B19" i="11" s="1"/>
  <c r="B19" i="12" a="1"/>
  <c r="B19" i="12" s="1"/>
  <c r="B19" i="6" a="1"/>
  <c r="B19" i="6" s="1"/>
  <c r="B19" i="5" a="1"/>
  <c r="B19" i="5" s="1"/>
  <c r="B19" i="4" a="1"/>
  <c r="B19" i="4" s="1"/>
  <c r="A45" i="32"/>
  <c r="A44" i="32"/>
  <c r="A43" i="32"/>
  <c r="A42" i="32"/>
  <c r="A41" i="32"/>
  <c r="A40" i="32"/>
  <c r="A39" i="32"/>
  <c r="A45" i="31"/>
  <c r="A44" i="31"/>
  <c r="A43" i="31"/>
  <c r="A42" i="31"/>
  <c r="A41" i="31"/>
  <c r="A40" i="31"/>
  <c r="A39" i="31"/>
  <c r="A45" i="30"/>
  <c r="A44" i="30"/>
  <c r="A43" i="30"/>
  <c r="A42" i="30"/>
  <c r="A41" i="30"/>
  <c r="A40" i="30"/>
  <c r="A39" i="30"/>
  <c r="A45" i="29"/>
  <c r="A44" i="29"/>
  <c r="A43" i="29"/>
  <c r="A42" i="29"/>
  <c r="A41" i="29"/>
  <c r="A40" i="29"/>
  <c r="A39" i="29"/>
  <c r="A45" i="28"/>
  <c r="A44" i="28"/>
  <c r="A43" i="28"/>
  <c r="A42" i="28"/>
  <c r="A41" i="28"/>
  <c r="A40" i="28"/>
  <c r="A39" i="28"/>
  <c r="A45" i="27"/>
  <c r="A44" i="27"/>
  <c r="A43" i="27"/>
  <c r="A42" i="27"/>
  <c r="A41" i="27"/>
  <c r="A40" i="27"/>
  <c r="A39" i="27"/>
  <c r="A45" i="25"/>
  <c r="A44" i="25"/>
  <c r="A43" i="25"/>
  <c r="A42" i="25"/>
  <c r="A41" i="25"/>
  <c r="A40" i="25"/>
  <c r="A39" i="25"/>
  <c r="A45" i="24"/>
  <c r="A44" i="24"/>
  <c r="A43" i="24"/>
  <c r="A42" i="24"/>
  <c r="A41" i="24"/>
  <c r="A40" i="24"/>
  <c r="A39" i="24"/>
  <c r="A45" i="23"/>
  <c r="A44" i="23"/>
  <c r="A43" i="23"/>
  <c r="A42" i="23"/>
  <c r="A41" i="23"/>
  <c r="A40" i="23"/>
  <c r="A39" i="23"/>
  <c r="A45" i="22"/>
  <c r="A44" i="22"/>
  <c r="A43" i="22"/>
  <c r="A42" i="22"/>
  <c r="A41" i="22"/>
  <c r="A40" i="22"/>
  <c r="A39" i="22"/>
  <c r="A45" i="21"/>
  <c r="A44" i="21"/>
  <c r="A43" i="21"/>
  <c r="A42" i="21"/>
  <c r="A41" i="21"/>
  <c r="A40" i="21"/>
  <c r="A39" i="21"/>
  <c r="A45" i="20"/>
  <c r="A44" i="20"/>
  <c r="A43" i="20"/>
  <c r="A42" i="20"/>
  <c r="A41" i="20"/>
  <c r="A40" i="20"/>
  <c r="A39" i="20"/>
  <c r="A45" i="18"/>
  <c r="A44" i="18"/>
  <c r="A43" i="18"/>
  <c r="A42" i="18"/>
  <c r="A41" i="18"/>
  <c r="A40" i="18"/>
  <c r="A39" i="18"/>
  <c r="A45" i="17"/>
  <c r="A44" i="17"/>
  <c r="A43" i="17"/>
  <c r="A42" i="17"/>
  <c r="A41" i="17"/>
  <c r="A40" i="17"/>
  <c r="A39" i="17"/>
  <c r="A45" i="16"/>
  <c r="A44" i="16"/>
  <c r="A43" i="16"/>
  <c r="A42" i="16"/>
  <c r="A41" i="16"/>
  <c r="A40" i="16"/>
  <c r="A39" i="16"/>
  <c r="A45" i="15"/>
  <c r="A44" i="15"/>
  <c r="A43" i="15"/>
  <c r="A42" i="15"/>
  <c r="A41" i="15"/>
  <c r="A40" i="15"/>
  <c r="A39" i="15"/>
  <c r="A45" i="14"/>
  <c r="A44" i="14"/>
  <c r="A43" i="14"/>
  <c r="A42" i="14"/>
  <c r="A41" i="14"/>
  <c r="A40" i="14"/>
  <c r="A39" i="14"/>
  <c r="A45" i="13"/>
  <c r="A44" i="13"/>
  <c r="A43" i="13"/>
  <c r="A42" i="13"/>
  <c r="A41" i="13"/>
  <c r="A40" i="13"/>
  <c r="A39" i="13"/>
  <c r="A45" i="12"/>
  <c r="A44" i="12"/>
  <c r="A43" i="12"/>
  <c r="A42" i="12"/>
  <c r="A41" i="12"/>
  <c r="A40" i="12"/>
  <c r="A39" i="12"/>
  <c r="A45" i="11"/>
  <c r="A44" i="11"/>
  <c r="A43" i="11"/>
  <c r="A42" i="11"/>
  <c r="A41" i="11"/>
  <c r="A40" i="11"/>
  <c r="A39" i="11"/>
  <c r="A45" i="10"/>
  <c r="A44" i="10"/>
  <c r="A43" i="10"/>
  <c r="A42" i="10"/>
  <c r="A41" i="10"/>
  <c r="A40" i="10"/>
  <c r="A39" i="10"/>
  <c r="A45" i="9"/>
  <c r="A44" i="9"/>
  <c r="A43" i="9"/>
  <c r="A42" i="9"/>
  <c r="A41" i="9"/>
  <c r="A40" i="9"/>
  <c r="A39" i="9"/>
  <c r="A45" i="8"/>
  <c r="A44" i="8"/>
  <c r="A43" i="8"/>
  <c r="A42" i="8"/>
  <c r="A41" i="8"/>
  <c r="A40" i="8"/>
  <c r="A39" i="8"/>
  <c r="A45" i="7"/>
  <c r="A44" i="7"/>
  <c r="A43" i="7"/>
  <c r="A42" i="7"/>
  <c r="A41" i="7"/>
  <c r="A40" i="7"/>
  <c r="A39" i="7"/>
  <c r="A45" i="6"/>
  <c r="A44" i="6"/>
  <c r="A43" i="6"/>
  <c r="A42" i="6"/>
  <c r="A41" i="6"/>
  <c r="A40" i="6"/>
  <c r="A39" i="6"/>
  <c r="A45" i="5"/>
  <c r="A44" i="5"/>
  <c r="A43" i="5"/>
  <c r="A42" i="5"/>
  <c r="A41" i="5"/>
  <c r="A40" i="5"/>
  <c r="A39" i="5"/>
  <c r="A45" i="4"/>
  <c r="A44" i="4"/>
  <c r="A43" i="4"/>
  <c r="A42" i="4"/>
  <c r="A41" i="4"/>
  <c r="A40" i="4"/>
  <c r="A39" i="4"/>
  <c r="A38" i="32" l="1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19" i="32"/>
  <c r="A20" i="32" s="1"/>
  <c r="A21" i="32" s="1"/>
  <c r="A22" i="32" s="1"/>
  <c r="A23" i="32" s="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2" i="31"/>
  <c r="A23" i="31" s="1"/>
  <c r="A19" i="31"/>
  <c r="A20" i="31" s="1"/>
  <c r="A21" i="31" s="1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19" i="30"/>
  <c r="A20" i="30" s="1"/>
  <c r="A21" i="30" s="1"/>
  <c r="A22" i="30" s="1"/>
  <c r="A23" i="30" s="1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19" i="29"/>
  <c r="A20" i="29" s="1"/>
  <c r="A21" i="29" s="1"/>
  <c r="A22" i="29" s="1"/>
  <c r="A23" i="29" s="1"/>
  <c r="A38" i="28"/>
  <c r="A37" i="28"/>
  <c r="A36" i="28"/>
  <c r="A35" i="28"/>
  <c r="A34" i="28"/>
  <c r="A33" i="28"/>
  <c r="A32" i="28"/>
  <c r="A31" i="28"/>
  <c r="A30" i="28"/>
  <c r="A29" i="28"/>
  <c r="A19" i="28"/>
  <c r="A20" i="28" s="1"/>
  <c r="A21" i="28" s="1"/>
  <c r="A22" i="28" s="1"/>
  <c r="A23" i="28" s="1"/>
  <c r="A24" i="28" s="1"/>
  <c r="A25" i="28" s="1"/>
  <c r="A26" i="28" s="1"/>
  <c r="A27" i="28" s="1"/>
  <c r="A28" i="28" s="1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2" i="27"/>
  <c r="A23" i="27" s="1"/>
  <c r="A19" i="27"/>
  <c r="A20" i="27" s="1"/>
  <c r="A21" i="27" s="1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19" i="25"/>
  <c r="A20" i="25" s="1"/>
  <c r="A21" i="25" s="1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19" i="24"/>
  <c r="A20" i="24" s="1"/>
  <c r="A21" i="24" s="1"/>
  <c r="A22" i="24" s="1"/>
  <c r="A23" i="24" s="1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2" i="23"/>
  <c r="A23" i="23" s="1"/>
  <c r="A19" i="23"/>
  <c r="A20" i="23" s="1"/>
  <c r="A21" i="23" s="1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19" i="22"/>
  <c r="A20" i="22" s="1"/>
  <c r="A21" i="22" s="1"/>
  <c r="A22" i="22" s="1"/>
  <c r="A23" i="22" s="1"/>
  <c r="A38" i="21"/>
  <c r="A37" i="21"/>
  <c r="A36" i="21"/>
  <c r="A35" i="21"/>
  <c r="A34" i="21"/>
  <c r="A33" i="21"/>
  <c r="A32" i="21"/>
  <c r="A31" i="21"/>
  <c r="A30" i="21"/>
  <c r="A29" i="21"/>
  <c r="A28" i="21"/>
  <c r="A19" i="21"/>
  <c r="A20" i="21" s="1"/>
  <c r="A21" i="21" s="1"/>
  <c r="A22" i="21" s="1"/>
  <c r="A23" i="21" s="1"/>
  <c r="A24" i="21" s="1"/>
  <c r="A25" i="21" s="1"/>
  <c r="A26" i="21" s="1"/>
  <c r="A27" i="21" s="1"/>
  <c r="A38" i="20"/>
  <c r="A37" i="20"/>
  <c r="A36" i="20"/>
  <c r="A35" i="20"/>
  <c r="A34" i="20"/>
  <c r="A33" i="20"/>
  <c r="A32" i="20"/>
  <c r="A31" i="20"/>
  <c r="A30" i="20"/>
  <c r="A29" i="20"/>
  <c r="A28" i="20"/>
  <c r="A19" i="20"/>
  <c r="A20" i="20" s="1"/>
  <c r="A21" i="20" s="1"/>
  <c r="A22" i="20" s="1"/>
  <c r="A23" i="20" s="1"/>
  <c r="A24" i="20" s="1"/>
  <c r="A25" i="20" s="1"/>
  <c r="A26" i="20" s="1"/>
  <c r="A27" i="20" s="1"/>
  <c r="A38" i="18"/>
  <c r="A37" i="18"/>
  <c r="A36" i="18"/>
  <c r="A35" i="18"/>
  <c r="A34" i="18"/>
  <c r="A33" i="18"/>
  <c r="A32" i="18"/>
  <c r="A31" i="18"/>
  <c r="A30" i="18"/>
  <c r="A29" i="18"/>
  <c r="A28" i="18"/>
  <c r="A19" i="18"/>
  <c r="A20" i="18" s="1"/>
  <c r="A21" i="18" s="1"/>
  <c r="A22" i="18" s="1"/>
  <c r="A23" i="18" s="1"/>
  <c r="A24" i="18" s="1"/>
  <c r="A25" i="18" s="1"/>
  <c r="A26" i="18" s="1"/>
  <c r="A27" i="18" s="1"/>
  <c r="A38" i="17"/>
  <c r="A37" i="17"/>
  <c r="A36" i="17"/>
  <c r="A35" i="17"/>
  <c r="A34" i="17"/>
  <c r="A33" i="17"/>
  <c r="A32" i="17"/>
  <c r="A31" i="17"/>
  <c r="A30" i="17"/>
  <c r="A29" i="17"/>
  <c r="A28" i="17"/>
  <c r="A19" i="17"/>
  <c r="A20" i="17" s="1"/>
  <c r="A21" i="17" s="1"/>
  <c r="A22" i="17" s="1"/>
  <c r="A23" i="17" s="1"/>
  <c r="A24" i="17" s="1"/>
  <c r="A25" i="17" s="1"/>
  <c r="A26" i="17" s="1"/>
  <c r="A27" i="17" s="1"/>
  <c r="A38" i="16"/>
  <c r="A37" i="16"/>
  <c r="A36" i="16"/>
  <c r="A35" i="16"/>
  <c r="A34" i="16"/>
  <c r="A33" i="16"/>
  <c r="A32" i="16"/>
  <c r="A31" i="16"/>
  <c r="A30" i="16"/>
  <c r="A29" i="16"/>
  <c r="A28" i="16"/>
  <c r="A19" i="16"/>
  <c r="A20" i="16" s="1"/>
  <c r="A21" i="16" s="1"/>
  <c r="A22" i="16" s="1"/>
  <c r="A23" i="16" s="1"/>
  <c r="A24" i="16" s="1"/>
  <c r="A25" i="16" s="1"/>
  <c r="A26" i="16" s="1"/>
  <c r="A27" i="16" s="1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19" i="15"/>
  <c r="A20" i="15" s="1"/>
  <c r="A21" i="15" s="1"/>
  <c r="A22" i="15" s="1"/>
  <c r="A23" i="15" s="1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2" i="14"/>
  <c r="A23" i="14" s="1"/>
  <c r="A19" i="14"/>
  <c r="A20" i="14" s="1"/>
  <c r="A21" i="14" s="1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19" i="13"/>
  <c r="A20" i="13" s="1"/>
  <c r="A21" i="13" s="1"/>
  <c r="A22" i="13" s="1"/>
  <c r="A23" i="13" s="1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19" i="12"/>
  <c r="A20" i="12" s="1"/>
  <c r="A21" i="12" s="1"/>
  <c r="A22" i="12" s="1"/>
  <c r="A23" i="12" s="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19" i="11"/>
  <c r="A20" i="11" s="1"/>
  <c r="A21" i="11" s="1"/>
  <c r="A22" i="11" s="1"/>
  <c r="A23" i="11" s="1"/>
  <c r="A38" i="10"/>
  <c r="A37" i="10"/>
  <c r="A36" i="10"/>
  <c r="A35" i="10"/>
  <c r="A34" i="10"/>
  <c r="A33" i="10"/>
  <c r="A32" i="10"/>
  <c r="A31" i="10"/>
  <c r="A30" i="10"/>
  <c r="A29" i="10"/>
  <c r="A28" i="10"/>
  <c r="A19" i="10"/>
  <c r="A20" i="10" s="1"/>
  <c r="A21" i="10" s="1"/>
  <c r="A22" i="10" s="1"/>
  <c r="A23" i="10" s="1"/>
  <c r="A24" i="10" s="1"/>
  <c r="A25" i="10" s="1"/>
  <c r="A26" i="10" s="1"/>
  <c r="A27" i="10" s="1"/>
  <c r="A38" i="9"/>
  <c r="A37" i="9"/>
  <c r="A36" i="9"/>
  <c r="A35" i="9"/>
  <c r="A34" i="9"/>
  <c r="A33" i="9"/>
  <c r="A32" i="9"/>
  <c r="A31" i="9"/>
  <c r="A30" i="9"/>
  <c r="A29" i="9"/>
  <c r="A28" i="9"/>
  <c r="A19" i="9"/>
  <c r="A20" i="9" s="1"/>
  <c r="A21" i="9" s="1"/>
  <c r="A22" i="9" s="1"/>
  <c r="A23" i="9" s="1"/>
  <c r="A24" i="9" s="1"/>
  <c r="A25" i="9" s="1"/>
  <c r="A26" i="9" s="1"/>
  <c r="A27" i="9" s="1"/>
  <c r="A38" i="8"/>
  <c r="A37" i="8"/>
  <c r="A36" i="8"/>
  <c r="A35" i="8"/>
  <c r="A34" i="8"/>
  <c r="A33" i="8"/>
  <c r="A32" i="8"/>
  <c r="A31" i="8"/>
  <c r="A30" i="8"/>
  <c r="A29" i="8"/>
  <c r="A28" i="8"/>
  <c r="A19" i="8"/>
  <c r="A20" i="8" s="1"/>
  <c r="A21" i="8" s="1"/>
  <c r="A22" i="8" s="1"/>
  <c r="A23" i="8" s="1"/>
  <c r="A24" i="8" s="1"/>
  <c r="A25" i="8" s="1"/>
  <c r="A26" i="8" s="1"/>
  <c r="A27" i="8" s="1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19" i="7"/>
  <c r="A20" i="7" s="1"/>
  <c r="A21" i="7" s="1"/>
  <c r="A22" i="7" s="1"/>
  <c r="A23" i="7" s="1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19" i="6"/>
  <c r="A20" i="6" s="1"/>
  <c r="A21" i="6" s="1"/>
  <c r="A22" i="6" s="1"/>
  <c r="A23" i="6" s="1"/>
  <c r="A24" i="6" s="1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19" i="5"/>
  <c r="A20" i="5" s="1"/>
  <c r="A21" i="5" s="1"/>
  <c r="A22" i="5" s="1"/>
  <c r="A23" i="5" s="1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19" i="4"/>
  <c r="A20" i="4" s="1"/>
  <c r="A21" i="4" s="1"/>
  <c r="A22" i="4" s="1"/>
  <c r="A2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danielwang</author>
  </authors>
  <commentList>
    <comment ref="D1" authorId="0" shapeId="0" xr:uid="{10A35603-9611-46D9-A687-6A391A118249}">
      <text>
        <r>
          <rPr>
            <b/>
            <sz val="9"/>
            <color indexed="81"/>
            <rFont val="Tahoma"/>
            <family val="2"/>
          </rPr>
          <t>danielwang:</t>
        </r>
        <r>
          <rPr>
            <sz val="9"/>
            <color indexed="81"/>
            <rFont val="Tahoma"/>
            <family val="2"/>
          </rPr>
          <t xml:space="preserve">
* Click 'RUN FORMULA' after making changes to the sheet, including filling in, deleting, inserting, or modifying etc. 
Multiple clicks are allowed at any time without causing errors.
* For Excel desktop only.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<sst xmlns="http://schemas.openxmlformats.org/spreadsheetml/2006/main" count="861" uniqueCount="241">
  <si>
    <t>REGION</t>
  </si>
  <si>
    <t>AFFILIATE ID</t>
  </si>
  <si>
    <t>AFFILIATE CODE</t>
  </si>
  <si>
    <t>AFFILIATE</t>
  </si>
  <si>
    <t>SPLIT TRACKS</t>
  </si>
  <si>
    <t>DELIVERY FORMAT</t>
  </si>
  <si>
    <t>NOTES</t>
  </si>
  <si>
    <t>SPENA FEEDS TO CROSS</t>
  </si>
  <si>
    <t>Hong Kong</t>
  </si>
  <si>
    <t>01A</t>
  </si>
  <si>
    <t>Yes</t>
  </si>
  <si>
    <t>ProRes SD</t>
  </si>
  <si>
    <t xml:space="preserve">GEM </t>
  </si>
  <si>
    <t>01B</t>
  </si>
  <si>
    <t>ProRes HD</t>
  </si>
  <si>
    <t>For AXN HD and GEM only</t>
  </si>
  <si>
    <t>AXN EA | GEM | Animax SEA</t>
  </si>
  <si>
    <t>01C</t>
  </si>
  <si>
    <t>AXN EA | Animax SEA</t>
  </si>
  <si>
    <t>01E</t>
  </si>
  <si>
    <t>For AXN HD only</t>
  </si>
  <si>
    <t xml:space="preserve">AXN EA | Animax SEA </t>
  </si>
  <si>
    <t>Macau</t>
  </si>
  <si>
    <t>02A</t>
  </si>
  <si>
    <t>02B</t>
  </si>
  <si>
    <t>AXN EA</t>
  </si>
  <si>
    <t>Thailand</t>
  </si>
  <si>
    <t>03A</t>
  </si>
  <si>
    <t>AXN EA | GEM</t>
  </si>
  <si>
    <t>03B</t>
  </si>
  <si>
    <t>Animax: Add "CH 263" under Bug</t>
  </si>
  <si>
    <t xml:space="preserve">Animax SEA </t>
  </si>
  <si>
    <t>03C</t>
  </si>
  <si>
    <t>Malaysia</t>
  </si>
  <si>
    <t>04A</t>
  </si>
  <si>
    <t>No</t>
  </si>
  <si>
    <t>IMX30 (MXF)</t>
  </si>
  <si>
    <t>AXN: Add "CH 721" under Bug | beTV: Add "CH 720" under Bug | ANIMAX: Add "CH 715" under Bug | ONE: Add "CH 393" under Bug</t>
  </si>
  <si>
    <t>AXN EA | ONE EA HD</t>
  </si>
  <si>
    <t>04B</t>
  </si>
  <si>
    <t xml:space="preserve">AXN: Add "CH 701" under Bug | beTV: Add "CH 720" under Bug |ONE: Add "CH 393" under Bug | ANIMAX: Add "CH 715" under Bug </t>
  </si>
  <si>
    <t>04C</t>
  </si>
  <si>
    <t>Mpeg 4</t>
  </si>
  <si>
    <t>Video: 640 X 360 Audio: 128kbps</t>
  </si>
  <si>
    <t>AXN EA | Animax SEA | ONE EA HD</t>
  </si>
  <si>
    <t>04D</t>
  </si>
  <si>
    <t>Video: 1280 X 720</t>
  </si>
  <si>
    <t>04E</t>
  </si>
  <si>
    <t>Video: 1920 X 1080, horizontal in .MOV</t>
  </si>
  <si>
    <t>AXN EA | Animax SEA | GEM</t>
  </si>
  <si>
    <t>Singapore</t>
  </si>
  <si>
    <t>05B</t>
  </si>
  <si>
    <t>MXF OP1a</t>
  </si>
  <si>
    <t>Animax: Add "CH 532" under Bug | AXN: Add "CH 511" under Bug  | ONE: Add "CH 124 / 823" under Bug | GEM : Add "CH 814" under Bug|</t>
  </si>
  <si>
    <t>AXN SG | Animax SEA |  ONE EA| GEM</t>
  </si>
  <si>
    <t>05E</t>
  </si>
  <si>
    <t xml:space="preserve">ONE: Add "CH 513 | CH 604 under Bug  | AXN: Add "CH 304" under Bug </t>
  </si>
  <si>
    <t>Cambodia</t>
  </si>
  <si>
    <t>05F</t>
  </si>
  <si>
    <t xml:space="preserve">AXN EA | Animax SEA | GEM </t>
  </si>
  <si>
    <t>05G</t>
  </si>
  <si>
    <t>Indonesia</t>
  </si>
  <si>
    <t>06A</t>
  </si>
  <si>
    <t>AXN: Add "CH 154" under Bug | Animax: Add "CH 157" under Bug | ONE: Add "CH 164" under Bug</t>
  </si>
  <si>
    <t xml:space="preserve">AXN EA | Animax SEA | ONE IDN </t>
  </si>
  <si>
    <t>06B</t>
  </si>
  <si>
    <t>Mpeg 4 / 3GP</t>
  </si>
  <si>
    <t>Video: 320 x 240</t>
  </si>
  <si>
    <t>AXN EA | Animax SEA | ONE IDN</t>
  </si>
  <si>
    <t>06C</t>
  </si>
  <si>
    <t>AXN EA | Animax SEA |  ONE IDN</t>
  </si>
  <si>
    <t>06D</t>
  </si>
  <si>
    <t>AXN EA | Animax SEA | GEM |  ONE IDN</t>
  </si>
  <si>
    <t>06E</t>
  </si>
  <si>
    <t>06F</t>
  </si>
  <si>
    <t xml:space="preserve">AXN EA </t>
  </si>
  <si>
    <t>06G</t>
  </si>
  <si>
    <t>AXN: Add "AXN CH 205 | AXN HD CH 204" under Bug | Animax: Add "CH 243" under Bug | SONY: Add "CH 229" under Bug</t>
  </si>
  <si>
    <t>06H</t>
  </si>
  <si>
    <t>AXN: Add "CH 27" under Bug | Animax: Add "CH 66" under Bug</t>
  </si>
  <si>
    <t>06I</t>
  </si>
  <si>
    <t>Use the same set of promos for Indovision</t>
  </si>
  <si>
    <t>06J</t>
  </si>
  <si>
    <t>AXN EA | GEM | ONE IDN | Animax SEA</t>
  </si>
  <si>
    <t>06K</t>
  </si>
  <si>
    <t>AXN EA | Animax SEA | GEM | ONE EA</t>
  </si>
  <si>
    <t>Philippines</t>
  </si>
  <si>
    <t>07A</t>
  </si>
  <si>
    <t>AXN PH | Animax SEA</t>
  </si>
  <si>
    <t>07C</t>
  </si>
  <si>
    <t>07D</t>
  </si>
  <si>
    <t>Maldives</t>
  </si>
  <si>
    <t>08A</t>
  </si>
  <si>
    <t>Video: 1920 x 1080, Audio:128 kbps</t>
  </si>
  <si>
    <t>AXN EA |  Animax SEA</t>
  </si>
  <si>
    <t>08B</t>
  </si>
  <si>
    <t>Vietnam</t>
  </si>
  <si>
    <t>10A</t>
  </si>
  <si>
    <t>GEM Promos to be delivered via Aspera
AXN HD Promos to be delivered via regular xPromo dumpout</t>
  </si>
  <si>
    <t>AXN EA1 | GEM</t>
  </si>
  <si>
    <t>Myanmar</t>
  </si>
  <si>
    <t>11A</t>
  </si>
  <si>
    <t>AXN EA | Animax SEA | GEM EA</t>
  </si>
  <si>
    <t>11B</t>
  </si>
  <si>
    <t>Jamaica</t>
  </si>
  <si>
    <t>12A</t>
  </si>
  <si>
    <t>AXN  EA</t>
  </si>
  <si>
    <t>Sri Lanka</t>
  </si>
  <si>
    <t>13A</t>
  </si>
  <si>
    <t xml:space="preserve">AXN: ENG FM, ENG SPLITS, BM FM, BI FM, VIET FM (SINGTEL: ENG FM)  </t>
  </si>
  <si>
    <t>CHANNEL</t>
  </si>
  <si>
    <t>TITLE</t>
  </si>
  <si>
    <t>VERSION</t>
  </si>
  <si>
    <t>DUR</t>
  </si>
  <si>
    <t>PRODUCER</t>
  </si>
  <si>
    <t>PROG DATE</t>
  </si>
  <si>
    <t>START DATE
(DD/MM/YY)</t>
  </si>
  <si>
    <t>KILL DATE
(DD/MM/YY)</t>
  </si>
  <si>
    <t>REMARKS</t>
  </si>
  <si>
    <t>AUDIO</t>
  </si>
  <si>
    <r>
      <t xml:space="preserve">AFFILIATE
</t>
    </r>
    <r>
      <rPr>
        <b/>
        <sz val="9"/>
        <color theme="1"/>
        <rFont val="Calibri"/>
        <family val="2"/>
      </rPr>
      <t>(ALL doesn't incl SINGTEL)</t>
    </r>
  </si>
  <si>
    <t>#</t>
  </si>
  <si>
    <t>AXN</t>
  </si>
  <si>
    <t>ENG FM</t>
  </si>
  <si>
    <t>ALL</t>
  </si>
  <si>
    <t>ENG SPLITS</t>
  </si>
  <si>
    <t>BM FM</t>
  </si>
  <si>
    <t>BI FM</t>
  </si>
  <si>
    <t>VIET FM</t>
  </si>
  <si>
    <t>05E.ST-HD</t>
  </si>
  <si>
    <t>01B.NTV-HD</t>
  </si>
  <si>
    <t>01C.TVB-HD</t>
  </si>
  <si>
    <t>02B.MAC-HD</t>
  </si>
  <si>
    <t>03A.TRV-HD</t>
  </si>
  <si>
    <t>04A.AST-SD</t>
  </si>
  <si>
    <t>04B.AST-HD</t>
  </si>
  <si>
    <t>04D.AST-DIGITAL</t>
  </si>
  <si>
    <t>04E.TMNet-HD</t>
  </si>
  <si>
    <t>05B.SH-HD</t>
  </si>
  <si>
    <t>05F.PPCTV-SD</t>
  </si>
  <si>
    <t>05G.WEW-HD</t>
  </si>
  <si>
    <t>06A.MNC-HD</t>
  </si>
  <si>
    <t>06C.FIM-HD</t>
  </si>
  <si>
    <t>06D.TNV-HD</t>
  </si>
  <si>
    <t>06J.DensTV-HD</t>
  </si>
  <si>
    <t>06K.NEX-P</t>
  </si>
  <si>
    <t>07A.SKC-SD</t>
  </si>
  <si>
    <t>07C.PHP-GEN-SD</t>
  </si>
  <si>
    <t>07D.CIGNAL-SD</t>
  </si>
  <si>
    <t>08A.Media-HD</t>
  </si>
  <si>
    <t>08B.Dhiraagu-HD</t>
  </si>
  <si>
    <t>10A.QNET-HD</t>
  </si>
  <si>
    <t>11A.Canal+ -HD</t>
  </si>
  <si>
    <t>11B.SkyNet-HD</t>
  </si>
  <si>
    <t>12A.Digicel-HD</t>
  </si>
  <si>
    <t>13A.DIALOG TV</t>
  </si>
  <si>
    <t>KC GLOBAL MEDIA | CROSS PROMOS COMPILATION</t>
  </si>
  <si>
    <t>OUTPUT FORMAT: ProRes HD/Split Tracks</t>
  </si>
  <si>
    <r>
      <rPr>
        <b/>
        <u/>
        <sz val="10"/>
        <color theme="1"/>
        <rFont val="Calibri"/>
        <family val="2"/>
      </rPr>
      <t>SPLIT TRACKS LEGEND</t>
    </r>
    <r>
      <rPr>
        <b/>
        <sz val="10"/>
        <color theme="1"/>
        <rFont val="Calibri"/>
        <family val="2"/>
      </rPr>
      <t xml:space="preserve">
Tk1/2 -- Full Mix (Stereo)
Tk3/4 -- VO (Stereo)
Tk5/6 -- SFX (Stereo)
Tk7/8 -- Music (Stereo)
</t>
    </r>
  </si>
  <si>
    <t>Require AXN promos in HD only</t>
  </si>
  <si>
    <t>English split tracks for Affiliate to do Canto VO</t>
  </si>
  <si>
    <t>AXN HD Bug on top left</t>
  </si>
  <si>
    <t>TIMECODE</t>
  </si>
  <si>
    <t>AXN Bug on top left</t>
  </si>
  <si>
    <t>Require AXN Promos in HD only</t>
  </si>
  <si>
    <t>English split tracks for Affiliate to do Thai VO</t>
  </si>
  <si>
    <t>OUTPUT FORMAT: IMX30 Mpeg 2 mxf</t>
  </si>
  <si>
    <t>Note to Astro: Do Not Insert Promos on AXN/ONE HD</t>
  </si>
  <si>
    <t>English Full Mix + Bahasa Melayu Full Mix</t>
  </si>
  <si>
    <t>Add "CH 721" under AXN Bug on top left</t>
  </si>
  <si>
    <t>Use Astro's Same Day As US masthead instead of channel's within XX hours bug for Express from U.S. titles</t>
  </si>
  <si>
    <t>OUTPUT FORMAT: ProRes HD</t>
  </si>
  <si>
    <t>OUTPUT FORMAT: Mpeg 4 (1280 X 720)</t>
  </si>
  <si>
    <t>Note to Astro: Do Not Insert Promos on AXN/ONE HD/Animax</t>
  </si>
  <si>
    <t>Add "CH 701" under AXN Bug on top left</t>
  </si>
  <si>
    <t>English Full Mix</t>
  </si>
  <si>
    <t>To include TM Net end tag</t>
  </si>
  <si>
    <t>Add "CH 511" under AXN HD Bug on top left</t>
  </si>
  <si>
    <t>To include StarHub end tag</t>
  </si>
  <si>
    <t>Add "CH 304" under Sony Channel bug on top left</t>
  </si>
  <si>
    <t>English full mix</t>
  </si>
  <si>
    <t>Use last frame of Singtel CTA end tag (with provided VO)</t>
  </si>
  <si>
    <t>OUTPUT FORMAT: ProRes SD/Split Tracks</t>
  </si>
  <si>
    <t>English Split Tracks</t>
  </si>
  <si>
    <t>OUTPUT FORMAT: Prores HD (audio level -12dB)</t>
  </si>
  <si>
    <t>Add "CH 154" under AXN Bug on top left</t>
  </si>
  <si>
    <r>
      <rPr>
        <b/>
        <sz val="12"/>
        <color rgb="FFFF0000"/>
        <rFont val="Calibri"/>
        <family val="2"/>
      </rPr>
      <t xml:space="preserve">English Full Mix + </t>
    </r>
    <r>
      <rPr>
        <b/>
        <u/>
        <sz val="12"/>
        <color rgb="FFFF0000"/>
        <rFont val="Calibri"/>
        <family val="2"/>
      </rPr>
      <t>Bahasa Indonesia Full Mix</t>
    </r>
  </si>
  <si>
    <t>Add "CH 51" under AXN Bug on top left</t>
  </si>
  <si>
    <t>To include First Media end tag</t>
  </si>
  <si>
    <t>OUTPUT FORMAT: ProRes SD</t>
  </si>
  <si>
    <t xml:space="preserve">AXN PH </t>
  </si>
  <si>
    <t>AXN PH</t>
  </si>
  <si>
    <t>Skycable special end tag</t>
  </si>
  <si>
    <t>Line 1: SKYCable logo | Line 2: 381-0000 | Line 3: mysky.com.ph</t>
  </si>
  <si>
    <t>OUTPUT FORMAT: MPEG 4 (1920 x 1080), Audio bitrate: 256 kbps, Video bitrate: 8 Mbps, codec: H.264</t>
  </si>
  <si>
    <t>No logo bug required</t>
  </si>
  <si>
    <r>
      <rPr>
        <b/>
        <sz val="12"/>
        <color rgb="FFFF0000"/>
        <rFont val="Calibri"/>
        <family val="2"/>
      </rPr>
      <t>English Full Mix +</t>
    </r>
    <r>
      <rPr>
        <b/>
        <u/>
        <sz val="12"/>
        <color rgb="FFFF0000"/>
        <rFont val="Calibri"/>
        <family val="2"/>
      </rPr>
      <t xml:space="preserve"> Vietnam Full Mix</t>
    </r>
  </si>
  <si>
    <r>
      <rPr>
        <b/>
        <sz val="15"/>
        <color rgb="FFFF0000"/>
        <rFont val="Calibri"/>
        <family val="2"/>
      </rPr>
      <t xml:space="preserve">AXN EA </t>
    </r>
  </si>
  <si>
    <t>A2</t>
  </si>
  <si>
    <t>A1</t>
  </si>
  <si>
    <r>
      <t xml:space="preserve">OUTPUT FORMAT: </t>
    </r>
    <r>
      <rPr>
        <b/>
        <sz val="11"/>
        <color rgb="FFE69138"/>
        <rFont val="Calibri"/>
        <family val="2"/>
      </rPr>
      <t>Video Format: MXF OP1a, Video Codec: XDCAM HD 422 1080i, Video Bitrate: 50Mbps</t>
    </r>
    <r>
      <rPr>
        <b/>
        <sz val="11"/>
        <color rgb="FFFF9900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 xml:space="preserve"> |  </t>
    </r>
    <r>
      <rPr>
        <b/>
        <sz val="11"/>
        <color rgb="FFBF9000"/>
        <rFont val="Calibri"/>
        <family val="2"/>
      </rPr>
      <t>Audio Format: PCM, Audio Bitdepth: 24 bit, Sample Rate: 48kHz, Audio Level: Averaging -23~-26dBFS or -3~+6dBVU, Loudness: -23LKFS</t>
    </r>
  </si>
  <si>
    <t>For Marketing Use Only</t>
  </si>
  <si>
    <t>To run the code, download the file to your desktop.</t>
  </si>
  <si>
    <t>05C</t>
  </si>
  <si>
    <t>05A</t>
  </si>
  <si>
    <t xml:space="preserve">Animax SEA | GEM </t>
  </si>
  <si>
    <t>OUTPUT FORMAT: MPEG 4 (1920 x 1080)</t>
  </si>
  <si>
    <t>05C.EAZIE</t>
  </si>
  <si>
    <t>STEP 1</t>
  </si>
  <si>
    <t>Reformat all affiliate sheets</t>
  </si>
  <si>
    <t>STEP 2</t>
  </si>
  <si>
    <t>Save all affiliate sheets as PDFs</t>
  </si>
  <si>
    <r>
      <t>NOTICE**
&gt; Reformat before saving as PDF to avoid errors
&gt; If an error occurs, click 'End' and redo the process
&gt; 'SAVE PDF ALL' button will save all sheets, including blank ones
&gt; To save a single sheet as a PDF, select the sheet and press</t>
    </r>
    <r>
      <rPr>
        <b/>
        <sz val="11"/>
        <color rgb="FFFFFF00"/>
        <rFont val="Arial Black"/>
        <family val="2"/>
      </rPr>
      <t xml:space="preserve"> </t>
    </r>
    <r>
      <rPr>
        <b/>
        <sz val="11"/>
        <color theme="2"/>
        <rFont val="Arial Black"/>
        <family val="2"/>
      </rPr>
      <t>Ctrl + Shift+ F</t>
    </r>
    <r>
      <rPr>
        <b/>
        <sz val="12"/>
        <color rgb="FFFFFF00"/>
        <rFont val="Calibri"/>
        <family val="2"/>
      </rPr>
      <t xml:space="preserve">
&gt; Make adjustments to each sheet after reformatting and before saving as PDF</t>
    </r>
  </si>
  <si>
    <t>AFFILIATE 01</t>
  </si>
  <si>
    <t>AFFILIATE 02</t>
  </si>
  <si>
    <t>AFFILIATE 03</t>
  </si>
  <si>
    <t>AFFILIATE 04</t>
  </si>
  <si>
    <t>AFFILIATE 05</t>
  </si>
  <si>
    <t>AFFILIATE 06</t>
  </si>
  <si>
    <t>AFFILIATE 07</t>
  </si>
  <si>
    <t>AFFILIATE 08</t>
  </si>
  <si>
    <t>AFFILIATE 09</t>
  </si>
  <si>
    <t>AFFILIATE 10</t>
  </si>
  <si>
    <t>AFFILIATE 11</t>
  </si>
  <si>
    <t>AFFILIATE 12</t>
  </si>
  <si>
    <t>AFFILIATE 13</t>
  </si>
  <si>
    <t>AFFILIATE 14</t>
  </si>
  <si>
    <t>AFFILIATE 15</t>
  </si>
  <si>
    <t>AFFILIATE 16</t>
  </si>
  <si>
    <t>AFFILIATE 17</t>
  </si>
  <si>
    <t>AFFILIATE 18</t>
  </si>
  <si>
    <t>AFFILIATE 19</t>
  </si>
  <si>
    <t>AFFILIATE 20</t>
  </si>
  <si>
    <t>AFFILIATE 21</t>
  </si>
  <si>
    <t>AFFILIATE 22</t>
  </si>
  <si>
    <t>AFFILIATE 23</t>
  </si>
  <si>
    <t>AFFILIATE 24</t>
  </si>
  <si>
    <t>AFFILIATE 25</t>
  </si>
  <si>
    <t>AFFILIATE 26</t>
  </si>
  <si>
    <t>AFFILIATE 27</t>
  </si>
  <si>
    <t>AFFILIATE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</si>
</sst>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"/>
    <numFmt numFmtId="165" formatCode="dd/mm/yy"/>
  </numFmts>
  <fonts count="66" x14ac:knownFonts="1">
    <font>
      <sz val="11"/>
      <color theme="1"/>
      <name val="Calibri"/>
      <scheme val="minor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CC4125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</font>
    <font>
      <b/>
      <sz val="13"/>
      <color theme="1"/>
      <name val="Calibri"/>
      <family val="2"/>
    </font>
    <font>
      <sz val="10"/>
      <color theme="1"/>
      <name val="Calibri"/>
      <family val="2"/>
    </font>
    <font>
      <b/>
      <sz val="10"/>
      <color rgb="FF808080"/>
      <name val="Calibri"/>
      <family val="2"/>
    </font>
    <font>
      <b/>
      <sz val="40"/>
      <color theme="1"/>
      <name val="Calibri"/>
      <family val="2"/>
    </font>
    <font>
      <sz val="10"/>
      <color rgb="FF808080"/>
      <name val="Calibri"/>
      <family val="2"/>
    </font>
    <font>
      <b/>
      <sz val="10"/>
      <color theme="1"/>
      <name val="Calibri"/>
      <family val="2"/>
    </font>
    <font>
      <b/>
      <sz val="15"/>
      <color rgb="FFFF0000"/>
      <name val="Calibri"/>
      <family val="2"/>
    </font>
    <font>
      <sz val="14"/>
      <color theme="1"/>
      <name val="Calibri"/>
      <family val="2"/>
    </font>
    <font>
      <i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30"/>
      <color theme="1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b/>
      <u/>
      <sz val="12"/>
      <color rgb="FFFF0000"/>
      <name val="Calibri"/>
      <family val="2"/>
    </font>
    <font>
      <b/>
      <u/>
      <sz val="12"/>
      <color rgb="FF00B050"/>
      <name val="Calibri"/>
      <family val="2"/>
    </font>
    <font>
      <b/>
      <i/>
      <u/>
      <sz val="12"/>
      <color rgb="FFFF0000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  <font>
      <b/>
      <sz val="12"/>
      <color rgb="FFE46D0A"/>
      <name val="Calibri"/>
      <family val="2"/>
    </font>
    <font>
      <b/>
      <u/>
      <sz val="12"/>
      <color rgb="FF0000FF"/>
      <name val="Calibri"/>
      <family val="2"/>
    </font>
    <font>
      <b/>
      <sz val="12"/>
      <color rgb="FF0000FF"/>
      <name val="Calibri"/>
      <family val="2"/>
    </font>
    <font>
      <b/>
      <u/>
      <sz val="12"/>
      <color rgb="FF00B0F0"/>
      <name val="Calibri"/>
      <family val="2"/>
    </font>
    <font>
      <b/>
      <sz val="12"/>
      <color rgb="FF00B0F0"/>
      <name val="Calibri"/>
      <family val="2"/>
    </font>
    <font>
      <b/>
      <sz val="50"/>
      <color theme="1"/>
      <name val="Calibri"/>
      <family val="2"/>
    </font>
    <font>
      <b/>
      <i/>
      <sz val="12"/>
      <color rgb="FFFF0000"/>
      <name val="Calibri"/>
      <family val="2"/>
    </font>
    <font>
      <b/>
      <u/>
      <sz val="12"/>
      <color rgb="FF7030A0"/>
      <name val="Calibri"/>
      <family val="2"/>
    </font>
    <font>
      <b/>
      <sz val="12"/>
      <color rgb="FF7030A0"/>
      <name val="Calibri"/>
      <family val="2"/>
    </font>
    <font>
      <b/>
      <i/>
      <sz val="12"/>
      <color rgb="FF7030A0"/>
      <name val="Calibri"/>
      <family val="2"/>
    </font>
    <font>
      <b/>
      <i/>
      <sz val="12"/>
      <color rgb="FF0000FF"/>
      <name val="Calibri"/>
      <family val="2"/>
    </font>
    <font>
      <b/>
      <i/>
      <sz val="12"/>
      <color rgb="FF00B050"/>
      <name val="Calibri"/>
      <family val="2"/>
    </font>
    <font>
      <b/>
      <sz val="12"/>
      <color rgb="FF0070C0"/>
      <name val="Calibri"/>
      <family val="2"/>
    </font>
    <font>
      <b/>
      <i/>
      <sz val="12"/>
      <color rgb="FF00B0F0"/>
      <name val="Calibri"/>
      <family val="2"/>
    </font>
    <font>
      <sz val="15"/>
      <color theme="1"/>
      <name val="Calibri"/>
      <family val="2"/>
    </font>
    <font>
      <b/>
      <u/>
      <sz val="10"/>
      <color theme="1"/>
      <name val="Calibri"/>
      <family val="2"/>
    </font>
    <font>
      <sz val="11"/>
      <color theme="1"/>
      <name val="Calibri"/>
      <family val="2"/>
    </font>
    <font>
      <strike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0"/>
      <color theme="1"/>
      <name val="Arial"/>
      <family val="2"/>
    </font>
    <font>
      <sz val="11"/>
      <color rgb="FF444444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9"/>
      <color theme="1"/>
      <name val="Calibri"/>
      <family val="2"/>
    </font>
    <font>
      <sz val="20"/>
      <color theme="1"/>
      <name val="Calibri (Body)"/>
    </font>
    <font>
      <sz val="20"/>
      <color theme="1"/>
      <name val="Calibri"/>
      <family val="2"/>
      <scheme val="minor"/>
    </font>
    <font>
      <b/>
      <sz val="11"/>
      <color rgb="FFE69138"/>
      <name val="Calibri"/>
      <family val="2"/>
    </font>
    <font>
      <b/>
      <sz val="11"/>
      <color rgb="FFFF9900"/>
      <name val="Calibri"/>
      <family val="2"/>
    </font>
    <font>
      <b/>
      <sz val="11"/>
      <color rgb="FFBF9000"/>
      <name val="Calibri"/>
      <family val="2"/>
    </font>
    <font>
      <b/>
      <u/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7"/>
      <name val="Calibri"/>
      <family val="2"/>
      <scheme val="minor"/>
    </font>
    <font>
      <b/>
      <sz val="18"/>
      <color theme="8" tint="0.79998168889431442"/>
      <name val="Calibri"/>
      <family val="2"/>
    </font>
    <font>
      <b/>
      <sz val="20"/>
      <color rgb="FFC00000"/>
      <name val="Calibri"/>
      <family val="2"/>
      <scheme val="minor"/>
    </font>
    <font>
      <b/>
      <sz val="14"/>
      <color theme="7"/>
      <name val="Calibri"/>
      <family val="2"/>
      <scheme val="minor"/>
    </font>
    <font>
      <b/>
      <sz val="12"/>
      <color rgb="FFFFFF00"/>
      <name val="Calibri"/>
      <family val="2"/>
    </font>
    <font>
      <b/>
      <sz val="11"/>
      <color rgb="FFFFFF00"/>
      <name val="Arial Black"/>
      <family val="2"/>
    </font>
    <font>
      <b/>
      <sz val="11"/>
      <color theme="2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  <fill>
      <patternFill patternType="solid">
        <fgColor rgb="FFFF66CC"/>
        <bgColor rgb="FFFF66CC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CCC0D9"/>
        <bgColor rgb="FFCCC0D9"/>
      </patternFill>
    </fill>
    <fill>
      <patternFill patternType="solid">
        <fgColor theme="7"/>
        <bgColor theme="7"/>
      </patternFill>
    </fill>
    <fill>
      <patternFill patternType="solid">
        <fgColor rgb="FF00B050"/>
        <bgColor rgb="FF00B050"/>
      </patternFill>
    </fill>
    <fill>
      <patternFill patternType="solid">
        <fgColor rgb="FFE36C09"/>
        <bgColor rgb="FFE36C09"/>
      </patternFill>
    </fill>
    <fill>
      <patternFill patternType="solid">
        <fgColor rgb="FFC00000"/>
        <bgColor rgb="FFC00000"/>
      </patternFill>
    </fill>
    <fill>
      <patternFill patternType="solid">
        <fgColor rgb="FFC4BD97"/>
        <bgColor rgb="FFC4BD97"/>
      </patternFill>
    </fill>
    <fill>
      <patternFill patternType="solid">
        <fgColor rgb="FFD6E3BC"/>
        <bgColor rgb="FFD6E3BC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rgb="FFFFFF00"/>
      </patternFill>
    </fill>
    <fill>
      <patternFill patternType="solid">
        <fgColor theme="7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rgb="FF000000"/>
      </patternFill>
    </fill>
  </fills>
  <borders count="17">
    <border>
      <left/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7" fillId="15" borderId="1" xfId="0" applyFont="1" applyFill="1" applyBorder="1" applyAlignment="1">
      <alignment horizontal="left"/>
    </xf>
    <xf numFmtId="0" fontId="17" fillId="15" borderId="2" xfId="0" applyFont="1" applyFill="1" applyBorder="1"/>
    <xf numFmtId="0" fontId="4" fillId="0" borderId="3" xfId="0" applyFont="1" applyBorder="1" applyAlignment="1">
      <alignment horizontal="center" vertical="center"/>
    </xf>
    <xf numFmtId="21" fontId="5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 wrapText="1"/>
    </xf>
    <xf numFmtId="0" fontId="14" fillId="0" borderId="0" xfId="0" applyFont="1"/>
    <xf numFmtId="0" fontId="17" fillId="15" borderId="1" xfId="0" applyFont="1" applyFill="1" applyBorder="1"/>
    <xf numFmtId="0" fontId="17" fillId="15" borderId="9" xfId="0" applyFont="1" applyFill="1" applyBorder="1" applyAlignment="1">
      <alignment horizontal="left"/>
    </xf>
    <xf numFmtId="0" fontId="17" fillId="15" borderId="10" xfId="0" applyFont="1" applyFill="1" applyBorder="1"/>
    <xf numFmtId="0" fontId="17" fillId="15" borderId="11" xfId="0" applyFont="1" applyFill="1" applyBorder="1"/>
    <xf numFmtId="0" fontId="40" fillId="0" borderId="0" xfId="0" applyFont="1"/>
    <xf numFmtId="0" fontId="17" fillId="0" borderId="0" xfId="0" applyFont="1"/>
    <xf numFmtId="0" fontId="25" fillId="15" borderId="6" xfId="0" applyFont="1" applyFill="1" applyBorder="1" applyAlignment="1">
      <alignment horizontal="left"/>
    </xf>
    <xf numFmtId="49" fontId="42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/>
    </xf>
    <xf numFmtId="49" fontId="46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45" fillId="9" borderId="7" xfId="0" applyFont="1" applyFill="1" applyBorder="1" applyAlignment="1">
      <alignment horizontal="left" vertical="center"/>
    </xf>
    <xf numFmtId="0" fontId="45" fillId="10" borderId="7" xfId="0" applyFont="1" applyFill="1" applyBorder="1" applyAlignment="1">
      <alignment vertical="center"/>
    </xf>
    <xf numFmtId="0" fontId="45" fillId="11" borderId="7" xfId="0" applyFont="1" applyFill="1" applyBorder="1" applyAlignment="1">
      <alignment vertical="center"/>
    </xf>
    <xf numFmtId="0" fontId="45" fillId="12" borderId="7" xfId="0" applyFont="1" applyFill="1" applyBorder="1" applyAlignment="1">
      <alignment vertical="center"/>
    </xf>
    <xf numFmtId="0" fontId="48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0" fillId="0" borderId="0" xfId="0" applyNumberFormat="1"/>
    <xf numFmtId="1" fontId="6" fillId="0" borderId="0" xfId="0" applyNumberFormat="1" applyFont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48" fillId="0" borderId="3" xfId="0" applyFont="1" applyBorder="1" applyAlignment="1">
      <alignment horizontal="center" vertical="center" wrapText="1"/>
    </xf>
    <xf numFmtId="0" fontId="2" fillId="2" borderId="7" xfId="0" applyFont="1" applyFill="1" applyBorder="1" applyAlignment="1">
      <alignment vertical="center"/>
    </xf>
    <xf numFmtId="0" fontId="45" fillId="2" borderId="7" xfId="0" applyFont="1" applyFill="1" applyBorder="1" applyAlignment="1">
      <alignment vertical="center"/>
    </xf>
    <xf numFmtId="0" fontId="43" fillId="2" borderId="7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45" fillId="3" borderId="7" xfId="0" applyFont="1" applyFill="1" applyBorder="1" applyAlignment="1">
      <alignment vertical="center"/>
    </xf>
    <xf numFmtId="0" fontId="2" fillId="4" borderId="7" xfId="0" applyFont="1" applyFill="1" applyBorder="1" applyAlignment="1">
      <alignment vertical="center"/>
    </xf>
    <xf numFmtId="0" fontId="45" fillId="4" borderId="7" xfId="0" applyFont="1" applyFill="1" applyBorder="1" applyAlignment="1">
      <alignment vertical="center"/>
    </xf>
    <xf numFmtId="0" fontId="43" fillId="4" borderId="7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45" fillId="5" borderId="7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 wrapText="1"/>
    </xf>
    <xf numFmtId="0" fontId="43" fillId="5" borderId="7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45" fillId="6" borderId="7" xfId="0" applyFont="1" applyFill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0" fontId="45" fillId="7" borderId="7" xfId="0" applyFont="1" applyFill="1" applyBorder="1" applyAlignment="1">
      <alignment vertical="center"/>
    </xf>
    <xf numFmtId="0" fontId="43" fillId="7" borderId="7" xfId="0" applyFont="1" applyFill="1" applyBorder="1" applyAlignment="1">
      <alignment vertical="center"/>
    </xf>
    <xf numFmtId="0" fontId="44" fillId="7" borderId="7" xfId="0" applyFont="1" applyFill="1" applyBorder="1" applyAlignment="1">
      <alignment vertical="center"/>
    </xf>
    <xf numFmtId="0" fontId="2" fillId="8" borderId="7" xfId="0" applyFont="1" applyFill="1" applyBorder="1" applyAlignment="1">
      <alignment vertical="center"/>
    </xf>
    <xf numFmtId="0" fontId="45" fillId="8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horizontal="left" vertical="center"/>
    </xf>
    <xf numFmtId="0" fontId="2" fillId="10" borderId="7" xfId="0" applyFont="1" applyFill="1" applyBorder="1" applyAlignment="1">
      <alignment vertical="center"/>
    </xf>
    <xf numFmtId="0" fontId="2" fillId="10" borderId="7" xfId="0" applyFont="1" applyFill="1" applyBorder="1" applyAlignment="1">
      <alignment vertical="center" wrapText="1"/>
    </xf>
    <xf numFmtId="0" fontId="2" fillId="11" borderId="7" xfId="0" applyFont="1" applyFill="1" applyBorder="1" applyAlignment="1">
      <alignment horizontal="left" vertical="center"/>
    </xf>
    <xf numFmtId="0" fontId="2" fillId="11" borderId="7" xfId="0" applyFont="1" applyFill="1" applyBorder="1" applyAlignment="1">
      <alignment vertical="center"/>
    </xf>
    <xf numFmtId="0" fontId="45" fillId="12" borderId="7" xfId="0" applyFont="1" applyFill="1" applyBorder="1" applyAlignment="1">
      <alignment horizontal="left" vertical="center"/>
    </xf>
    <xf numFmtId="0" fontId="2" fillId="12" borderId="7" xfId="0" applyFont="1" applyFill="1" applyBorder="1" applyAlignment="1">
      <alignment vertical="center"/>
    </xf>
    <xf numFmtId="0" fontId="2" fillId="13" borderId="7" xfId="0" applyFont="1" applyFill="1" applyBorder="1" applyAlignment="1">
      <alignment vertical="center"/>
    </xf>
    <xf numFmtId="0" fontId="2" fillId="13" borderId="7" xfId="0" applyFont="1" applyFill="1" applyBorder="1" applyAlignment="1">
      <alignment horizontal="left" vertical="center"/>
    </xf>
    <xf numFmtId="0" fontId="17" fillId="15" borderId="6" xfId="0" applyFont="1" applyFill="1" applyBorder="1" applyAlignment="1">
      <alignment horizontal="left"/>
    </xf>
    <xf numFmtId="0" fontId="17" fillId="15" borderId="7" xfId="0" applyFont="1" applyFill="1" applyBorder="1"/>
    <xf numFmtId="0" fontId="17" fillId="15" borderId="8" xfId="0" applyFont="1" applyFill="1" applyBorder="1"/>
    <xf numFmtId="0" fontId="17" fillId="15" borderId="12" xfId="0" applyFont="1" applyFill="1" applyBorder="1"/>
    <xf numFmtId="164" fontId="6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/>
    </xf>
    <xf numFmtId="49" fontId="5" fillId="16" borderId="3" xfId="0" applyNumberFormat="1" applyFont="1" applyFill="1" applyBorder="1" applyAlignment="1">
      <alignment horizontal="center" vertical="center" wrapText="1"/>
    </xf>
    <xf numFmtId="49" fontId="5" fillId="16" borderId="3" xfId="0" applyNumberFormat="1" applyFont="1" applyFill="1" applyBorder="1" applyAlignment="1">
      <alignment horizontal="center" vertical="center"/>
    </xf>
    <xf numFmtId="165" fontId="5" fillId="0" borderId="3" xfId="0" applyNumberFormat="1" applyFont="1" applyBorder="1" applyAlignment="1">
      <alignment horizontal="center" vertical="center"/>
    </xf>
    <xf numFmtId="0" fontId="47" fillId="0" borderId="0" xfId="0" applyFont="1"/>
    <xf numFmtId="16" fontId="6" fillId="0" borderId="0" xfId="0" applyNumberFormat="1" applyFont="1" applyAlignment="1">
      <alignment horizontal="center" vertical="center"/>
    </xf>
    <xf numFmtId="16" fontId="5" fillId="16" borderId="3" xfId="0" applyNumberFormat="1" applyFont="1" applyFill="1" applyBorder="1" applyAlignment="1">
      <alignment horizontal="center" vertical="center"/>
    </xf>
    <xf numFmtId="16" fontId="5" fillId="0" borderId="3" xfId="0" applyNumberFormat="1" applyFont="1" applyBorder="1" applyAlignment="1">
      <alignment horizontal="center" vertical="center"/>
    </xf>
    <xf numFmtId="0" fontId="2" fillId="6" borderId="7" xfId="0" applyFont="1" applyFill="1" applyBorder="1" applyAlignment="1">
      <alignment horizontal="left"/>
    </xf>
    <xf numFmtId="0" fontId="2" fillId="6" borderId="7" xfId="0" applyFont="1" applyFill="1" applyBorder="1"/>
    <xf numFmtId="0" fontId="48" fillId="0" borderId="15" xfId="0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164" fontId="5" fillId="0" borderId="13" xfId="0" applyNumberFormat="1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8" borderId="13" xfId="0" applyFill="1" applyBorder="1"/>
    <xf numFmtId="0" fontId="0" fillId="18" borderId="14" xfId="0" applyFill="1" applyBorder="1"/>
    <xf numFmtId="49" fontId="4" fillId="0" borderId="0" xfId="0" applyNumberFormat="1" applyFont="1" applyAlignment="1">
      <alignment horizontal="center" vertical="center"/>
    </xf>
    <xf numFmtId="49" fontId="0" fillId="0" borderId="0" xfId="0" applyNumberFormat="1"/>
    <xf numFmtId="0" fontId="3" fillId="18" borderId="13" xfId="0" applyFont="1" applyFill="1" applyBorder="1" applyAlignment="1">
      <alignment horizontal="left" vertical="center"/>
    </xf>
    <xf numFmtId="0" fontId="0" fillId="18" borderId="13" xfId="0" applyFill="1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0" fillId="0" borderId="0" xfId="0"/>
    <xf numFmtId="0" fontId="5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11" fillId="0" borderId="0" xfId="0" applyFont="1"/>
    <xf numFmtId="0" fontId="13" fillId="0" borderId="0" xfId="0" applyFont="1" applyAlignment="1">
      <alignment horizontal="left" vertical="top" wrapText="1"/>
    </xf>
    <xf numFmtId="0" fontId="14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25" fillId="15" borderId="6" xfId="0" applyFont="1" applyFill="1" applyBorder="1" applyAlignment="1">
      <alignment horizontal="left"/>
    </xf>
    <xf numFmtId="0" fontId="19" fillId="0" borderId="7" xfId="0" applyFont="1" applyBorder="1"/>
    <xf numFmtId="0" fontId="19" fillId="0" borderId="8" xfId="0" applyFont="1" applyBorder="1"/>
    <xf numFmtId="0" fontId="25" fillId="15" borderId="1" xfId="0" applyFont="1" applyFill="1" applyBorder="1"/>
    <xf numFmtId="0" fontId="19" fillId="0" borderId="12" xfId="0" applyFont="1" applyBorder="1"/>
    <xf numFmtId="0" fontId="19" fillId="0" borderId="2" xfId="0" applyFont="1" applyBorder="1"/>
    <xf numFmtId="0" fontId="27" fillId="15" borderId="9" xfId="0" applyFont="1" applyFill="1" applyBorder="1" applyAlignment="1">
      <alignment horizontal="left"/>
    </xf>
    <xf numFmtId="0" fontId="19" fillId="0" borderId="10" xfId="0" applyFont="1" applyBorder="1"/>
    <xf numFmtId="0" fontId="19" fillId="0" borderId="11" xfId="0" applyFont="1" applyBorder="1"/>
    <xf numFmtId="0" fontId="21" fillId="15" borderId="9" xfId="0" applyFont="1" applyFill="1" applyBorder="1" applyAlignment="1">
      <alignment horizontal="left"/>
    </xf>
    <xf numFmtId="0" fontId="13" fillId="14" borderId="12" xfId="0" applyFont="1" applyFill="1" applyBorder="1" applyAlignment="1">
      <alignment horizontal="left" vertical="center"/>
    </xf>
    <xf numFmtId="0" fontId="28" fillId="15" borderId="6" xfId="0" applyFont="1" applyFill="1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0" fontId="19" fillId="0" borderId="5" xfId="0" applyFont="1" applyBorder="1"/>
    <xf numFmtId="0" fontId="17" fillId="15" borderId="1" xfId="0" applyFont="1" applyFill="1" applyBorder="1"/>
    <xf numFmtId="0" fontId="22" fillId="15" borderId="9" xfId="0" applyFont="1" applyFill="1" applyBorder="1" applyAlignment="1">
      <alignment horizontal="left"/>
    </xf>
    <xf numFmtId="0" fontId="24" fillId="15" borderId="6" xfId="0" applyFont="1" applyFill="1" applyBorder="1" applyAlignment="1">
      <alignment horizontal="left"/>
    </xf>
    <xf numFmtId="0" fontId="26" fillId="15" borderId="6" xfId="0" applyFont="1" applyFill="1" applyBorder="1" applyAlignment="1">
      <alignment horizontal="left"/>
    </xf>
    <xf numFmtId="0" fontId="23" fillId="2" borderId="6" xfId="0" applyFont="1" applyFill="1" applyBorder="1" applyAlignment="1">
      <alignment horizontal="left"/>
    </xf>
    <xf numFmtId="0" fontId="17" fillId="15" borderId="9" xfId="0" applyFont="1" applyFill="1" applyBorder="1" applyAlignment="1">
      <alignment horizontal="center"/>
    </xf>
    <xf numFmtId="0" fontId="17" fillId="15" borderId="6" xfId="0" applyFont="1" applyFill="1" applyBorder="1" applyAlignment="1">
      <alignment horizontal="center"/>
    </xf>
    <xf numFmtId="0" fontId="17" fillId="15" borderId="1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9" fillId="15" borderId="9" xfId="0" applyFont="1" applyFill="1" applyBorder="1" applyAlignment="1">
      <alignment horizontal="left"/>
    </xf>
    <xf numFmtId="0" fontId="29" fillId="15" borderId="6" xfId="0" applyFont="1" applyFill="1" applyBorder="1" applyAlignment="1">
      <alignment horizontal="left"/>
    </xf>
    <xf numFmtId="0" fontId="29" fillId="15" borderId="1" xfId="0" applyFont="1" applyFill="1" applyBorder="1" applyAlignment="1">
      <alignment horizontal="left"/>
    </xf>
    <xf numFmtId="0" fontId="30" fillId="15" borderId="6" xfId="0" applyFont="1" applyFill="1" applyBorder="1" applyAlignment="1">
      <alignment horizontal="left"/>
    </xf>
    <xf numFmtId="0" fontId="31" fillId="0" borderId="0" xfId="0" applyFont="1"/>
    <xf numFmtId="0" fontId="32" fillId="2" borderId="6" xfId="0" applyFont="1" applyFill="1" applyBorder="1" applyAlignment="1">
      <alignment horizontal="left"/>
    </xf>
    <xf numFmtId="0" fontId="25" fillId="15" borderId="6" xfId="0" applyFont="1" applyFill="1" applyBorder="1"/>
    <xf numFmtId="0" fontId="25" fillId="2" borderId="6" xfId="0" applyFont="1" applyFill="1" applyBorder="1" applyAlignment="1">
      <alignment horizontal="left"/>
    </xf>
    <xf numFmtId="0" fontId="4" fillId="0" borderId="0" xfId="0" applyFont="1" applyAlignment="1">
      <alignment horizontal="left" vertical="center"/>
    </xf>
    <xf numFmtId="0" fontId="33" fillId="15" borderId="9" xfId="0" applyFont="1" applyFill="1" applyBorder="1" applyAlignment="1">
      <alignment horizontal="left"/>
    </xf>
    <xf numFmtId="0" fontId="34" fillId="15" borderId="6" xfId="0" applyFont="1" applyFill="1" applyBorder="1" applyAlignment="1">
      <alignment horizontal="left"/>
    </xf>
    <xf numFmtId="0" fontId="34" fillId="15" borderId="7" xfId="0" applyFont="1" applyFill="1" applyBorder="1" applyAlignment="1">
      <alignment horizontal="left"/>
    </xf>
    <xf numFmtId="0" fontId="28" fillId="15" borderId="1" xfId="0" applyFont="1" applyFill="1" applyBorder="1" applyAlignment="1">
      <alignment horizontal="left"/>
    </xf>
    <xf numFmtId="0" fontId="55" fillId="17" borderId="9" xfId="0" applyFont="1" applyFill="1" applyBorder="1" applyAlignment="1">
      <alignment wrapText="1"/>
    </xf>
    <xf numFmtId="0" fontId="55" fillId="17" borderId="10" xfId="0" applyFont="1" applyFill="1" applyBorder="1" applyAlignment="1">
      <alignment wrapText="1"/>
    </xf>
    <xf numFmtId="0" fontId="55" fillId="17" borderId="11" xfId="0" applyFont="1" applyFill="1" applyBorder="1" applyAlignment="1">
      <alignment wrapText="1"/>
    </xf>
    <xf numFmtId="0" fontId="56" fillId="17" borderId="6" xfId="0" applyFont="1" applyFill="1" applyBorder="1" applyAlignment="1">
      <alignment wrapText="1"/>
    </xf>
    <xf numFmtId="0" fontId="56" fillId="17" borderId="7" xfId="0" applyFont="1" applyFill="1" applyBorder="1" applyAlignment="1">
      <alignment wrapText="1"/>
    </xf>
    <xf numFmtId="0" fontId="56" fillId="17" borderId="8" xfId="0" applyFont="1" applyFill="1" applyBorder="1" applyAlignment="1">
      <alignment wrapText="1"/>
    </xf>
    <xf numFmtId="0" fontId="35" fillId="15" borderId="6" xfId="0" applyFont="1" applyFill="1" applyBorder="1" applyAlignment="1">
      <alignment horizontal="left"/>
    </xf>
    <xf numFmtId="0" fontId="36" fillId="15" borderId="6" xfId="0" applyFont="1" applyFill="1" applyBorder="1" applyAlignment="1">
      <alignment horizontal="left"/>
    </xf>
    <xf numFmtId="0" fontId="37" fillId="15" borderId="6" xfId="0" applyFont="1" applyFill="1" applyBorder="1" applyAlignment="1">
      <alignment horizontal="left"/>
    </xf>
    <xf numFmtId="0" fontId="38" fillId="15" borderId="1" xfId="0" applyFont="1" applyFill="1" applyBorder="1" applyAlignment="1">
      <alignment horizontal="left"/>
    </xf>
    <xf numFmtId="0" fontId="33" fillId="15" borderId="6" xfId="0" applyFont="1" applyFill="1" applyBorder="1" applyAlignment="1">
      <alignment horizontal="left"/>
    </xf>
    <xf numFmtId="0" fontId="14" fillId="0" borderId="0" xfId="0" applyFont="1" applyAlignment="1">
      <alignment horizontal="left" vertical="center"/>
    </xf>
    <xf numFmtId="0" fontId="36" fillId="15" borderId="1" xfId="0" applyFont="1" applyFill="1" applyBorder="1" applyAlignment="1">
      <alignment horizontal="left"/>
    </xf>
    <xf numFmtId="0" fontId="30" fillId="15" borderId="1" xfId="0" applyFont="1" applyFill="1" applyBorder="1" applyAlignment="1">
      <alignment horizontal="left"/>
    </xf>
    <xf numFmtId="0" fontId="35" fillId="15" borderId="1" xfId="0" applyFont="1" applyFill="1" applyBorder="1" applyAlignment="1">
      <alignment horizontal="left"/>
    </xf>
    <xf numFmtId="0" fontId="32" fillId="2" borderId="1" xfId="0" applyFont="1" applyFill="1" applyBorder="1"/>
    <xf numFmtId="0" fontId="22" fillId="15" borderId="6" xfId="0" applyFont="1" applyFill="1" applyBorder="1" applyAlignment="1">
      <alignment horizontal="left"/>
    </xf>
    <xf numFmtId="0" fontId="39" fillId="15" borderId="1" xfId="0" applyFont="1" applyFill="1" applyBorder="1" applyAlignment="1">
      <alignment horizontal="left"/>
    </xf>
    <xf numFmtId="0" fontId="37" fillId="15" borderId="1" xfId="0" applyFont="1" applyFill="1" applyBorder="1" applyAlignment="1">
      <alignment horizontal="left"/>
    </xf>
    <xf numFmtId="0" fontId="32" fillId="2" borderId="1" xfId="0" applyFont="1" applyFill="1" applyBorder="1" applyAlignment="1">
      <alignment horizontal="left"/>
    </xf>
    <xf numFmtId="0" fontId="17" fillId="0" borderId="0" xfId="0" applyFont="1" applyAlignment="1">
      <alignment horizontal="left"/>
    </xf>
    <xf numFmtId="0" fontId="24" fillId="15" borderId="1" xfId="0" applyFont="1" applyFill="1" applyBorder="1" applyAlignment="1">
      <alignment horizontal="left"/>
    </xf>
    <xf numFmtId="0" fontId="25" fillId="15" borderId="1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17" fillId="15" borderId="7" xfId="0" applyFont="1" applyFill="1" applyBorder="1" applyAlignment="1">
      <alignment horizontal="center"/>
    </xf>
    <xf numFmtId="0" fontId="17" fillId="15" borderId="12" xfId="0" applyFont="1" applyFill="1" applyBorder="1" applyAlignment="1">
      <alignment horizontal="center"/>
    </xf>
    <xf numFmtId="0" fontId="61" fillId="22" borderId="0" xfId="0" applyFont="1" applyFill="1" applyAlignment="1">
      <alignment horizontal="left" vertical="center" wrapText="1" indent="1"/>
    </xf>
    <xf numFmtId="0" fontId="57" fillId="19" borderId="0" xfId="0" applyFont="1" applyFill="1" applyAlignment="1">
      <alignment horizontal="center" vertical="center"/>
    </xf>
    <xf numFmtId="0" fontId="58" fillId="20" borderId="0" xfId="0" applyFont="1" applyFill="1" applyAlignment="1">
      <alignment horizontal="center" vertical="center"/>
    </xf>
    <xf numFmtId="0" fontId="59" fillId="21" borderId="0" xfId="0" applyFont="1" applyFill="1" applyAlignment="1">
      <alignment horizontal="center" vertical="center"/>
    </xf>
    <xf numFmtId="0" fontId="60" fillId="21" borderId="0" xfId="0" applyFont="1" applyFill="1" applyAlignment="1">
      <alignment horizontal="left" vertical="center" indent="3"/>
    </xf>
    <xf numFmtId="0" fontId="60" fillId="21" borderId="0" xfId="0" applyFont="1" applyFill="1" applyAlignment="1">
      <alignment horizontal="left" vertical="center" indent="7"/>
    </xf>
  </cellXfs>
  <cellStyles count="1">
    <cellStyle name="Normal" xfId="0" builtinId="0"/>
  </cellStyles>
  <dxfs count="2">
    <dxf>
      <fill>
        <patternFill patternType="solid">
          <fgColor rgb="FFE06666"/>
          <bgColor rgb="FFE06666"/>
        </patternFill>
      </fill>
    </dxf>
    <dxf>
      <fill>
        <patternFill patternType="solid">
          <fgColor rgb="FFE06666"/>
          <bgColor rgb="FFE066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481704</xdr:colOff>
      <xdr:row>0</xdr:row>
      <xdr:rowOff>183468</xdr:rowOff>
    </xdr:from>
    <xdr:to>
      <xdr:col>3</xdr:col>
      <xdr:colOff>1048632</xdr:colOff>
      <xdr:row>0</xdr:row>
      <xdr:rowOff>622380</xdr:rowOff>
    </xdr:to>
    <xdr:sp macro="[0]!AXN_2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802347" y="183468"/>
          <a:ext cx="566928" cy="438912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>
              <a:solidFill>
                <a:srgbClr val="FFFFFF"/>
              </a:solidFill>
              <a:latin typeface="Roboto"/>
              <a:ea typeface="Roboto"/>
              <a:cs typeface="Roboto"/>
              <a:sym typeface="Roboto"/>
            </a:rPr>
            <a:t>A2</a:t>
          </a:r>
          <a:endParaRPr sz="2000" b="1">
            <a:solidFill>
              <a:srgbClr val="FFFFFF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absolute">
    <xdr:from>
      <xdr:col>3</xdr:col>
      <xdr:colOff>1275453</xdr:colOff>
      <xdr:row>0</xdr:row>
      <xdr:rowOff>183468</xdr:rowOff>
    </xdr:from>
    <xdr:to>
      <xdr:col>3</xdr:col>
      <xdr:colOff>1842381</xdr:colOff>
      <xdr:row>0</xdr:row>
      <xdr:rowOff>622380</xdr:rowOff>
    </xdr:to>
    <xdr:sp macro="[0]!AXN_1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596096" y="183468"/>
          <a:ext cx="566928" cy="438912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>
              <a:solidFill>
                <a:srgbClr val="FFFFFF"/>
              </a:solidFill>
              <a:latin typeface="Roboto"/>
              <a:ea typeface="Roboto"/>
              <a:cs typeface="Roboto"/>
              <a:sym typeface="Roboto"/>
            </a:rPr>
            <a:t>A1</a:t>
          </a:r>
          <a:endParaRPr sz="2000" b="1">
            <a:solidFill>
              <a:srgbClr val="FFFFFF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absolute">
    <xdr:from>
      <xdr:col>4</xdr:col>
      <xdr:colOff>54441</xdr:colOff>
      <xdr:row>0</xdr:row>
      <xdr:rowOff>183468</xdr:rowOff>
    </xdr:from>
    <xdr:to>
      <xdr:col>6</xdr:col>
      <xdr:colOff>1034155</xdr:colOff>
      <xdr:row>0</xdr:row>
      <xdr:rowOff>622380</xdr:rowOff>
    </xdr:to>
    <xdr:sp macro="[0]!Calculate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F9B2C1F-C508-485B-94A5-D8DA4569DD57}"/>
            </a:ext>
          </a:extLst>
        </xdr:cNvPr>
        <xdr:cNvSpPr/>
      </xdr:nvSpPr>
      <xdr:spPr>
        <a:xfrm>
          <a:off x="9525012" y="183468"/>
          <a:ext cx="2156733" cy="438912"/>
        </a:xfrm>
        <a:prstGeom prst="roundRect">
          <a:avLst/>
        </a:prstGeom>
        <a:solidFill>
          <a:srgbClr val="F79646">
            <a:lumMod val="7500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Calibri"/>
              <a:cs typeface="Calibri"/>
            </a:rPr>
            <a:t>RUN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Calibri"/>
              <a:cs typeface="Calibri"/>
            </a:rPr>
            <a:t> </a:t>
          </a: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Calibri"/>
              <a:cs typeface="Calibri"/>
            </a:rPr>
            <a:t>FORMULA</a:t>
          </a:r>
          <a:endParaRPr kumimoji="0" lang="en-US" sz="1400" b="1" i="0" u="none" strike="noStrike" kern="0" cap="none" spc="0" normalizeH="0" baseline="0" noProof="0">
            <a:ln>
              <a:noFill/>
            </a:ln>
            <a:solidFill>
              <a:srgbClr val="FFFF00"/>
            </a:solidFill>
            <a:effectLst/>
            <a:uLnTx/>
            <a:uFillTx/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1100139</xdr:colOff>
      <xdr:row>7</xdr:row>
      <xdr:rowOff>9525</xdr:rowOff>
    </xdr:from>
    <xdr:to>
      <xdr:col>3</xdr:col>
      <xdr:colOff>170499</xdr:colOff>
      <xdr:row>8</xdr:row>
      <xdr:rowOff>266700</xdr:rowOff>
    </xdr:to>
    <xdr:sp macro="[0]!Reformat" textlink="">
      <xdr:nvSpPr>
        <xdr:cNvPr id="4" name="Shape 9">
          <a:extLst>
            <a:ext uri="{FF2B5EF4-FFF2-40B4-BE49-F238E27FC236}">
              <a16:creationId xmlns:a16="http://schemas.microsoft.com/office/drawing/2014/main" id="{D835A3CC-3045-497A-A7D7-0006D5A5D3F7}"/>
            </a:ext>
          </a:extLst>
        </xdr:cNvPr>
        <xdr:cNvSpPr/>
      </xdr:nvSpPr>
      <xdr:spPr>
        <a:xfrm>
          <a:off x="1800227" y="1333500"/>
          <a:ext cx="1280160" cy="447675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EACF17"/>
              </a:solidFill>
              <a:effectLst/>
              <a:uLnTx/>
              <a:uFillTx/>
              <a:latin typeface="Roboto"/>
              <a:ea typeface="Roboto"/>
              <a:cs typeface="Roboto"/>
              <a:sym typeface="Roboto"/>
            </a:rPr>
            <a:t>REFORMAT</a:t>
          </a:r>
          <a:endParaRPr kumimoji="0" sz="1400" b="1" i="0" u="none" strike="noStrike" kern="0" cap="none" spc="0" normalizeH="0" baseline="0" noProof="0">
            <a:ln>
              <a:noFill/>
            </a:ln>
            <a:solidFill>
              <a:srgbClr val="EACF17"/>
            </a:solidFill>
            <a:effectLst/>
            <a:uLnTx/>
            <a:uFillTx/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oneCell">
    <xdr:from>
      <xdr:col>1</xdr:col>
      <xdr:colOff>1095375</xdr:colOff>
      <xdr:row>9</xdr:row>
      <xdr:rowOff>190499</xdr:rowOff>
    </xdr:from>
    <xdr:to>
      <xdr:col>3</xdr:col>
      <xdr:colOff>495058</xdr:colOff>
      <xdr:row>12</xdr:row>
      <xdr:rowOff>2134</xdr:rowOff>
    </xdr:to>
    <xdr:pic macro="[0]!AllSavePDF">
      <xdr:nvPicPr>
        <xdr:cNvPr id="6" name="Picture 5">
          <a:extLst>
            <a:ext uri="{FF2B5EF4-FFF2-40B4-BE49-F238E27FC236}">
              <a16:creationId xmlns:a16="http://schemas.microsoft.com/office/drawing/2014/main" id="{CBCEF56E-D595-44FB-2CD9-3CFEC12D5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3" y="1976437"/>
          <a:ext cx="1609483" cy="4450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2"/>
  <sheetViews>
    <sheetView showZeros="0" zoomScaleNormal="100" workbookViewId="0">
      <pane ySplit="1" topLeftCell="A2" activePane="bottomLeft" state="frozen"/>
      <selection activeCell="H24" sqref="H24"/>
      <selection pane="bottomLeft" activeCell="E47" sqref="E47"/>
    </sheetView>
  </sheetViews>
  <sheetFormatPr baseColWidth="10" defaultColWidth="14.5" defaultRowHeight="15" customHeight="1" x14ac:dyDescent="0.2"/>
  <cols>
    <col min="1" max="1" width="11" style="32" customWidth="1"/>
    <col min="2" max="2" width="12.83203125" style="32" customWidth="1"/>
    <col min="3" max="3" width="16.33203125" style="32" customWidth="1"/>
    <col min="4" max="4" width="21.83203125" style="32" customWidth="1"/>
    <col min="5" max="5" width="12.6640625" style="32" customWidth="1"/>
    <col min="6" max="6" width="17.5" style="32" customWidth="1"/>
    <col min="7" max="7" width="66" style="32" customWidth="1"/>
    <col min="8" max="8" width="49.6640625" style="32" customWidth="1"/>
    <col min="9" max="26" width="9.1640625" style="32" customWidth="1"/>
    <col min="27" max="16384" width="14.5" style="32"/>
  </cols>
  <sheetData>
    <row r="1" spans="1:8" ht="12.75" customHeight="1" x14ac:dyDescent="0.2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</row>
    <row r="2" spans="1:8" ht="12.75" customHeight="1" x14ac:dyDescent="0.2">
      <c r="A2" s="55" t="s">
        <v>8</v>
      </c>
      <c r="B2" s="56" t="s">
        <v>9</v>
      </c>
      <c r="C2" s="55"/>
      <c r="D2" s="55"/>
      <c r="E2" s="55" t="s">
        <v>10</v>
      </c>
      <c r="F2" s="55" t="s">
        <v>11</v>
      </c>
      <c r="G2" s="55"/>
      <c r="H2" s="55" t="s">
        <v>12</v>
      </c>
    </row>
    <row r="3" spans="1:8" ht="12.75" customHeight="1" x14ac:dyDescent="0.2">
      <c r="A3" s="55" t="s">
        <v>8</v>
      </c>
      <c r="B3" s="56" t="s">
        <v>13</v>
      </c>
      <c r="C3" s="55"/>
      <c r="D3" s="55"/>
      <c r="E3" s="55" t="s">
        <v>10</v>
      </c>
      <c r="F3" s="55" t="s">
        <v>14</v>
      </c>
      <c r="G3" s="55" t="s">
        <v>15</v>
      </c>
      <c r="H3" s="55" t="s">
        <v>16</v>
      </c>
    </row>
    <row r="4" spans="1:8" ht="12.75" customHeight="1" x14ac:dyDescent="0.2">
      <c r="A4" s="55" t="s">
        <v>8</v>
      </c>
      <c r="B4" s="56" t="s">
        <v>17</v>
      </c>
      <c r="C4" s="55"/>
      <c r="D4" s="55"/>
      <c r="E4" s="55" t="s">
        <v>10</v>
      </c>
      <c r="F4" s="55" t="s">
        <v>14</v>
      </c>
      <c r="G4" s="55"/>
      <c r="H4" s="55" t="s">
        <v>18</v>
      </c>
    </row>
    <row r="5" spans="1:8" ht="12.75" customHeight="1" x14ac:dyDescent="0.2">
      <c r="A5" s="57" t="s">
        <v>8</v>
      </c>
      <c r="B5" s="57" t="s">
        <v>19</v>
      </c>
      <c r="C5" s="57"/>
      <c r="D5" s="57"/>
      <c r="E5" s="57" t="s">
        <v>10</v>
      </c>
      <c r="F5" s="57" t="s">
        <v>14</v>
      </c>
      <c r="G5" s="57" t="s">
        <v>20</v>
      </c>
      <c r="H5" s="57" t="s">
        <v>21</v>
      </c>
    </row>
    <row r="6" spans="1:8" ht="12.75" customHeight="1" x14ac:dyDescent="0.2">
      <c r="A6" s="58" t="s">
        <v>22</v>
      </c>
      <c r="B6" s="59" t="s">
        <v>23</v>
      </c>
      <c r="C6" s="58"/>
      <c r="D6" s="58"/>
      <c r="E6" s="58" t="s">
        <v>10</v>
      </c>
      <c r="F6" s="58" t="s">
        <v>11</v>
      </c>
      <c r="G6" s="58"/>
      <c r="H6" s="58" t="s">
        <v>18</v>
      </c>
    </row>
    <row r="7" spans="1:8" ht="12.75" customHeight="1" x14ac:dyDescent="0.2">
      <c r="A7" s="58" t="s">
        <v>22</v>
      </c>
      <c r="B7" s="59" t="s">
        <v>24</v>
      </c>
      <c r="C7" s="58"/>
      <c r="D7" s="58"/>
      <c r="E7" s="58" t="s">
        <v>10</v>
      </c>
      <c r="F7" s="58" t="s">
        <v>14</v>
      </c>
      <c r="G7" s="58" t="s">
        <v>20</v>
      </c>
      <c r="H7" s="58" t="s">
        <v>25</v>
      </c>
    </row>
    <row r="8" spans="1:8" ht="12.75" customHeight="1" x14ac:dyDescent="0.2">
      <c r="A8" s="60" t="s">
        <v>26</v>
      </c>
      <c r="B8" s="61" t="s">
        <v>27</v>
      </c>
      <c r="C8" s="60"/>
      <c r="D8" s="60"/>
      <c r="E8" s="60" t="s">
        <v>10</v>
      </c>
      <c r="F8" s="60" t="s">
        <v>11</v>
      </c>
      <c r="G8" s="60"/>
      <c r="H8" s="60" t="s">
        <v>28</v>
      </c>
    </row>
    <row r="9" spans="1:8" ht="12.75" customHeight="1" x14ac:dyDescent="0.2">
      <c r="A9" s="62" t="s">
        <v>26</v>
      </c>
      <c r="B9" s="62" t="s">
        <v>29</v>
      </c>
      <c r="C9" s="62"/>
      <c r="D9" s="62"/>
      <c r="E9" s="62" t="s">
        <v>10</v>
      </c>
      <c r="F9" s="62" t="s">
        <v>11</v>
      </c>
      <c r="G9" s="62" t="s">
        <v>30</v>
      </c>
      <c r="H9" s="62" t="s">
        <v>31</v>
      </c>
    </row>
    <row r="10" spans="1:8" ht="12.75" customHeight="1" x14ac:dyDescent="0.2">
      <c r="A10" s="60" t="s">
        <v>26</v>
      </c>
      <c r="B10" s="61" t="s">
        <v>32</v>
      </c>
      <c r="C10" s="60"/>
      <c r="D10" s="60"/>
      <c r="E10" s="60" t="s">
        <v>10</v>
      </c>
      <c r="F10" s="60" t="s">
        <v>11</v>
      </c>
      <c r="G10" s="60"/>
      <c r="H10" s="60" t="s">
        <v>31</v>
      </c>
    </row>
    <row r="11" spans="1:8" ht="12.75" customHeight="1" x14ac:dyDescent="0.2">
      <c r="A11" s="63" t="s">
        <v>33</v>
      </c>
      <c r="B11" s="64" t="s">
        <v>34</v>
      </c>
      <c r="C11" s="63"/>
      <c r="D11" s="63"/>
      <c r="E11" s="63" t="s">
        <v>35</v>
      </c>
      <c r="F11" s="63" t="s">
        <v>36</v>
      </c>
      <c r="G11" s="63" t="s">
        <v>37</v>
      </c>
      <c r="H11" s="63" t="s">
        <v>38</v>
      </c>
    </row>
    <row r="12" spans="1:8" ht="12.75" customHeight="1" x14ac:dyDescent="0.2">
      <c r="A12" s="63" t="s">
        <v>33</v>
      </c>
      <c r="B12" s="64" t="s">
        <v>39</v>
      </c>
      <c r="C12" s="63"/>
      <c r="D12" s="63"/>
      <c r="E12" s="63" t="s">
        <v>35</v>
      </c>
      <c r="F12" s="63" t="s">
        <v>14</v>
      </c>
      <c r="G12" s="65" t="s">
        <v>40</v>
      </c>
      <c r="H12" s="63" t="s">
        <v>38</v>
      </c>
    </row>
    <row r="13" spans="1:8" ht="12.75" customHeight="1" x14ac:dyDescent="0.2">
      <c r="A13" s="66" t="s">
        <v>33</v>
      </c>
      <c r="B13" s="66" t="s">
        <v>41</v>
      </c>
      <c r="C13" s="66"/>
      <c r="D13" s="66"/>
      <c r="E13" s="66" t="s">
        <v>35</v>
      </c>
      <c r="F13" s="66" t="s">
        <v>42</v>
      </c>
      <c r="G13" s="66" t="s">
        <v>43</v>
      </c>
      <c r="H13" s="66" t="s">
        <v>44</v>
      </c>
    </row>
    <row r="14" spans="1:8" ht="12.75" customHeight="1" x14ac:dyDescent="0.2">
      <c r="A14" s="63" t="s">
        <v>33</v>
      </c>
      <c r="B14" s="64" t="s">
        <v>45</v>
      </c>
      <c r="C14" s="63"/>
      <c r="D14" s="63"/>
      <c r="E14" s="63" t="s">
        <v>35</v>
      </c>
      <c r="F14" s="63" t="s">
        <v>42</v>
      </c>
      <c r="G14" s="63" t="s">
        <v>46</v>
      </c>
      <c r="H14" s="63" t="s">
        <v>38</v>
      </c>
    </row>
    <row r="15" spans="1:8" ht="12.75" customHeight="1" x14ac:dyDescent="0.2">
      <c r="A15" s="63" t="s">
        <v>33</v>
      </c>
      <c r="B15" s="64" t="s">
        <v>47</v>
      </c>
      <c r="C15" s="63"/>
      <c r="D15" s="63"/>
      <c r="E15" s="63" t="s">
        <v>35</v>
      </c>
      <c r="F15" s="63" t="s">
        <v>14</v>
      </c>
      <c r="G15" s="65" t="s">
        <v>48</v>
      </c>
      <c r="H15" s="63" t="s">
        <v>49</v>
      </c>
    </row>
    <row r="16" spans="1:8" ht="12.75" customHeight="1" x14ac:dyDescent="0.15">
      <c r="A16" s="103" t="s">
        <v>50</v>
      </c>
      <c r="B16" s="103" t="s">
        <v>204</v>
      </c>
      <c r="C16" s="103"/>
      <c r="D16" s="103"/>
      <c r="E16" s="103" t="s">
        <v>35</v>
      </c>
      <c r="F16" s="103" t="s">
        <v>14</v>
      </c>
      <c r="G16" s="103"/>
      <c r="H16" s="103" t="s">
        <v>205</v>
      </c>
    </row>
    <row r="17" spans="1:8" ht="12.75" customHeight="1" x14ac:dyDescent="0.2">
      <c r="A17" s="67" t="s">
        <v>50</v>
      </c>
      <c r="B17" s="68" t="s">
        <v>51</v>
      </c>
      <c r="C17" s="67"/>
      <c r="D17" s="67"/>
      <c r="E17" s="67" t="s">
        <v>35</v>
      </c>
      <c r="F17" s="67" t="s">
        <v>52</v>
      </c>
      <c r="G17" s="67" t="s">
        <v>53</v>
      </c>
      <c r="H17" s="67" t="s">
        <v>54</v>
      </c>
    </row>
    <row r="18" spans="1:8" ht="12.75" customHeight="1" x14ac:dyDescent="0.15">
      <c r="A18" s="67" t="s">
        <v>50</v>
      </c>
      <c r="B18" s="67" t="s">
        <v>203</v>
      </c>
      <c r="C18" s="67"/>
      <c r="D18" s="102"/>
      <c r="E18" s="102" t="s">
        <v>35</v>
      </c>
      <c r="F18" s="102" t="s">
        <v>42</v>
      </c>
      <c r="G18" s="67"/>
      <c r="H18" s="67" t="s">
        <v>54</v>
      </c>
    </row>
    <row r="19" spans="1:8" ht="12.75" customHeight="1" x14ac:dyDescent="0.2">
      <c r="A19" s="67" t="s">
        <v>50</v>
      </c>
      <c r="B19" s="68" t="s">
        <v>55</v>
      </c>
      <c r="C19" s="67"/>
      <c r="D19" s="67"/>
      <c r="E19" s="67" t="s">
        <v>35</v>
      </c>
      <c r="F19" s="67" t="s">
        <v>14</v>
      </c>
      <c r="G19" s="67" t="s">
        <v>56</v>
      </c>
      <c r="H19" s="67" t="s">
        <v>54</v>
      </c>
    </row>
    <row r="20" spans="1:8" ht="12.75" customHeight="1" x14ac:dyDescent="0.2">
      <c r="A20" s="67" t="s">
        <v>57</v>
      </c>
      <c r="B20" s="68" t="s">
        <v>58</v>
      </c>
      <c r="C20" s="67"/>
      <c r="D20" s="67"/>
      <c r="E20" s="67" t="s">
        <v>10</v>
      </c>
      <c r="F20" s="67" t="s">
        <v>11</v>
      </c>
      <c r="G20" s="67"/>
      <c r="H20" s="67" t="s">
        <v>59</v>
      </c>
    </row>
    <row r="21" spans="1:8" ht="12.75" customHeight="1" x14ac:dyDescent="0.2">
      <c r="A21" s="67" t="s">
        <v>57</v>
      </c>
      <c r="B21" s="68" t="s">
        <v>60</v>
      </c>
      <c r="C21" s="67"/>
      <c r="D21" s="67"/>
      <c r="E21" s="67" t="s">
        <v>35</v>
      </c>
      <c r="F21" s="67" t="s">
        <v>14</v>
      </c>
      <c r="G21" s="67"/>
      <c r="H21" s="67" t="s">
        <v>49</v>
      </c>
    </row>
    <row r="22" spans="1:8" ht="12.75" customHeight="1" x14ac:dyDescent="0.2">
      <c r="A22" s="69" t="s">
        <v>61</v>
      </c>
      <c r="B22" s="70" t="s">
        <v>62</v>
      </c>
      <c r="C22" s="69"/>
      <c r="D22" s="69"/>
      <c r="E22" s="69" t="s">
        <v>35</v>
      </c>
      <c r="F22" s="69" t="s">
        <v>14</v>
      </c>
      <c r="G22" s="69" t="s">
        <v>63</v>
      </c>
      <c r="H22" s="69" t="s">
        <v>64</v>
      </c>
    </row>
    <row r="23" spans="1:8" ht="12.75" customHeight="1" x14ac:dyDescent="0.2">
      <c r="A23" s="71" t="s">
        <v>61</v>
      </c>
      <c r="B23" s="71" t="s">
        <v>65</v>
      </c>
      <c r="C23" s="71"/>
      <c r="D23" s="71"/>
      <c r="E23" s="71" t="s">
        <v>35</v>
      </c>
      <c r="F23" s="71" t="s">
        <v>66</v>
      </c>
      <c r="G23" s="71" t="s">
        <v>67</v>
      </c>
      <c r="H23" s="71" t="s">
        <v>68</v>
      </c>
    </row>
    <row r="24" spans="1:8" ht="12.75" customHeight="1" x14ac:dyDescent="0.2">
      <c r="A24" s="69" t="s">
        <v>61</v>
      </c>
      <c r="B24" s="70" t="s">
        <v>69</v>
      </c>
      <c r="C24" s="69"/>
      <c r="D24" s="69"/>
      <c r="E24" s="69" t="s">
        <v>35</v>
      </c>
      <c r="F24" s="69" t="s">
        <v>14</v>
      </c>
      <c r="G24" s="69"/>
      <c r="H24" s="69" t="s">
        <v>70</v>
      </c>
    </row>
    <row r="25" spans="1:8" ht="12.75" customHeight="1" x14ac:dyDescent="0.2">
      <c r="A25" s="69" t="s">
        <v>61</v>
      </c>
      <c r="B25" s="70" t="s">
        <v>71</v>
      </c>
      <c r="C25" s="69"/>
      <c r="D25" s="69"/>
      <c r="E25" s="69" t="s">
        <v>35</v>
      </c>
      <c r="F25" s="69" t="s">
        <v>14</v>
      </c>
      <c r="G25" s="69"/>
      <c r="H25" s="69" t="s">
        <v>72</v>
      </c>
    </row>
    <row r="26" spans="1:8" ht="12.75" customHeight="1" x14ac:dyDescent="0.2">
      <c r="A26" s="69" t="s">
        <v>61</v>
      </c>
      <c r="B26" s="70" t="s">
        <v>73</v>
      </c>
      <c r="C26" s="69"/>
      <c r="D26" s="69"/>
      <c r="E26" s="69" t="s">
        <v>35</v>
      </c>
      <c r="F26" s="69" t="s">
        <v>14</v>
      </c>
      <c r="G26" s="69"/>
      <c r="H26" s="69" t="s">
        <v>25</v>
      </c>
    </row>
    <row r="27" spans="1:8" ht="12.75" customHeight="1" x14ac:dyDescent="0.2">
      <c r="A27" s="71" t="s">
        <v>61</v>
      </c>
      <c r="B27" s="71" t="s">
        <v>74</v>
      </c>
      <c r="C27" s="71"/>
      <c r="D27" s="71"/>
      <c r="E27" s="71" t="s">
        <v>35</v>
      </c>
      <c r="F27" s="71" t="s">
        <v>11</v>
      </c>
      <c r="G27" s="71"/>
      <c r="H27" s="71" t="s">
        <v>75</v>
      </c>
    </row>
    <row r="28" spans="1:8" ht="12.75" customHeight="1" x14ac:dyDescent="0.2">
      <c r="A28" s="71" t="s">
        <v>61</v>
      </c>
      <c r="B28" s="71" t="s">
        <v>76</v>
      </c>
      <c r="C28" s="71"/>
      <c r="D28" s="71"/>
      <c r="E28" s="71" t="s">
        <v>35</v>
      </c>
      <c r="F28" s="71" t="s">
        <v>14</v>
      </c>
      <c r="G28" s="71" t="s">
        <v>77</v>
      </c>
      <c r="H28" s="71" t="s">
        <v>70</v>
      </c>
    </row>
    <row r="29" spans="1:8" ht="12.75" customHeight="1" x14ac:dyDescent="0.2">
      <c r="A29" s="71" t="s">
        <v>61</v>
      </c>
      <c r="B29" s="71" t="s">
        <v>78</v>
      </c>
      <c r="C29" s="71"/>
      <c r="D29" s="71"/>
      <c r="E29" s="71" t="s">
        <v>35</v>
      </c>
      <c r="F29" s="71" t="s">
        <v>11</v>
      </c>
      <c r="G29" s="71" t="s">
        <v>79</v>
      </c>
      <c r="H29" s="71" t="s">
        <v>18</v>
      </c>
    </row>
    <row r="30" spans="1:8" ht="12.75" customHeight="1" x14ac:dyDescent="0.2">
      <c r="A30" s="71" t="s">
        <v>61</v>
      </c>
      <c r="B30" s="71" t="s">
        <v>80</v>
      </c>
      <c r="C30" s="71"/>
      <c r="D30" s="71"/>
      <c r="E30" s="71" t="s">
        <v>35</v>
      </c>
      <c r="F30" s="71" t="s">
        <v>14</v>
      </c>
      <c r="G30" s="71" t="s">
        <v>81</v>
      </c>
      <c r="H30" s="72"/>
    </row>
    <row r="31" spans="1:8" ht="12.75" customHeight="1" x14ac:dyDescent="0.2">
      <c r="A31" s="69" t="s">
        <v>61</v>
      </c>
      <c r="B31" s="70" t="s">
        <v>82</v>
      </c>
      <c r="C31" s="69"/>
      <c r="D31" s="69"/>
      <c r="E31" s="69" t="s">
        <v>35</v>
      </c>
      <c r="F31" s="69" t="s">
        <v>14</v>
      </c>
      <c r="G31" s="69"/>
      <c r="H31" s="69" t="s">
        <v>83</v>
      </c>
    </row>
    <row r="32" spans="1:8" ht="12.75" customHeight="1" x14ac:dyDescent="0.2">
      <c r="A32" s="69" t="s">
        <v>61</v>
      </c>
      <c r="B32" s="70" t="s">
        <v>84</v>
      </c>
      <c r="C32" s="69"/>
      <c r="D32" s="69"/>
      <c r="E32" s="69" t="s">
        <v>35</v>
      </c>
      <c r="F32" s="69" t="s">
        <v>14</v>
      </c>
      <c r="G32" s="69"/>
      <c r="H32" s="69" t="s">
        <v>85</v>
      </c>
    </row>
    <row r="33" spans="1:8" ht="12.75" customHeight="1" x14ac:dyDescent="0.2">
      <c r="A33" s="73" t="s">
        <v>86</v>
      </c>
      <c r="B33" s="74" t="s">
        <v>87</v>
      </c>
      <c r="C33" s="73"/>
      <c r="D33" s="73"/>
      <c r="E33" s="73" t="s">
        <v>35</v>
      </c>
      <c r="F33" s="73" t="s">
        <v>11</v>
      </c>
      <c r="G33" s="73"/>
      <c r="H33" s="73" t="s">
        <v>88</v>
      </c>
    </row>
    <row r="34" spans="1:8" ht="12.75" customHeight="1" x14ac:dyDescent="0.2">
      <c r="A34" s="73" t="s">
        <v>86</v>
      </c>
      <c r="B34" s="74" t="s">
        <v>89</v>
      </c>
      <c r="C34" s="73"/>
      <c r="D34" s="73"/>
      <c r="E34" s="73" t="s">
        <v>35</v>
      </c>
      <c r="F34" s="73" t="s">
        <v>11</v>
      </c>
      <c r="G34" s="73"/>
      <c r="H34" s="73" t="s">
        <v>88</v>
      </c>
    </row>
    <row r="35" spans="1:8" ht="12.75" customHeight="1" x14ac:dyDescent="0.2">
      <c r="A35" s="73" t="s">
        <v>86</v>
      </c>
      <c r="B35" s="74" t="s">
        <v>90</v>
      </c>
      <c r="C35" s="73"/>
      <c r="D35" s="73"/>
      <c r="E35" s="73" t="s">
        <v>35</v>
      </c>
      <c r="F35" s="73" t="s">
        <v>11</v>
      </c>
      <c r="G35" s="73"/>
      <c r="H35" s="73" t="s">
        <v>88</v>
      </c>
    </row>
    <row r="36" spans="1:8" ht="12.75" customHeight="1" x14ac:dyDescent="0.2">
      <c r="A36" s="37" t="s">
        <v>91</v>
      </c>
      <c r="B36" s="37" t="s">
        <v>92</v>
      </c>
      <c r="C36" s="75"/>
      <c r="D36" s="75"/>
      <c r="E36" s="75" t="s">
        <v>35</v>
      </c>
      <c r="F36" s="75" t="s">
        <v>42</v>
      </c>
      <c r="G36" s="75" t="s">
        <v>93</v>
      </c>
      <c r="H36" s="75" t="s">
        <v>94</v>
      </c>
    </row>
    <row r="37" spans="1:8" ht="12.75" customHeight="1" x14ac:dyDescent="0.2">
      <c r="A37" s="37" t="s">
        <v>91</v>
      </c>
      <c r="B37" s="37" t="s">
        <v>95</v>
      </c>
      <c r="C37" s="75"/>
      <c r="D37" s="75"/>
      <c r="E37" s="75" t="s">
        <v>10</v>
      </c>
      <c r="F37" s="75" t="s">
        <v>14</v>
      </c>
      <c r="G37" s="75"/>
      <c r="H37" s="75" t="s">
        <v>18</v>
      </c>
    </row>
    <row r="38" spans="1:8" ht="12.75" customHeight="1" x14ac:dyDescent="0.2">
      <c r="A38" s="38" t="s">
        <v>96</v>
      </c>
      <c r="B38" s="38" t="s">
        <v>97</v>
      </c>
      <c r="C38" s="76"/>
      <c r="D38" s="76"/>
      <c r="E38" s="76" t="s">
        <v>10</v>
      </c>
      <c r="F38" s="76" t="s">
        <v>14</v>
      </c>
      <c r="G38" s="77" t="s">
        <v>98</v>
      </c>
      <c r="H38" s="76" t="s">
        <v>99</v>
      </c>
    </row>
    <row r="39" spans="1:8" ht="12.75" customHeight="1" x14ac:dyDescent="0.2">
      <c r="A39" s="39" t="s">
        <v>100</v>
      </c>
      <c r="B39" s="78" t="s">
        <v>101</v>
      </c>
      <c r="C39" s="79"/>
      <c r="D39" s="79"/>
      <c r="E39" s="79" t="s">
        <v>10</v>
      </c>
      <c r="F39" s="79" t="s">
        <v>14</v>
      </c>
      <c r="G39" s="79"/>
      <c r="H39" s="79" t="s">
        <v>102</v>
      </c>
    </row>
    <row r="40" spans="1:8" ht="12.75" customHeight="1" x14ac:dyDescent="0.2">
      <c r="A40" s="39" t="s">
        <v>100</v>
      </c>
      <c r="B40" s="78" t="s">
        <v>103</v>
      </c>
      <c r="C40" s="79"/>
      <c r="D40" s="79"/>
      <c r="E40" s="79" t="s">
        <v>10</v>
      </c>
      <c r="F40" s="79" t="s">
        <v>14</v>
      </c>
      <c r="G40" s="79"/>
      <c r="H40" s="79" t="s">
        <v>25</v>
      </c>
    </row>
    <row r="41" spans="1:8" ht="12.75" customHeight="1" x14ac:dyDescent="0.2">
      <c r="A41" s="40" t="s">
        <v>104</v>
      </c>
      <c r="B41" s="80" t="s">
        <v>105</v>
      </c>
      <c r="C41" s="81"/>
      <c r="D41" s="81"/>
      <c r="E41" s="81" t="s">
        <v>10</v>
      </c>
      <c r="F41" s="81" t="s">
        <v>14</v>
      </c>
      <c r="G41" s="81"/>
      <c r="H41" s="81" t="s">
        <v>106</v>
      </c>
    </row>
    <row r="42" spans="1:8" ht="12.75" customHeight="1" x14ac:dyDescent="0.2">
      <c r="A42" s="82" t="s">
        <v>107</v>
      </c>
      <c r="B42" s="83" t="s">
        <v>108</v>
      </c>
      <c r="C42" s="82"/>
      <c r="D42" s="82"/>
      <c r="E42" s="82" t="s">
        <v>35</v>
      </c>
      <c r="F42" s="82" t="s">
        <v>42</v>
      </c>
      <c r="G42" s="82" t="s">
        <v>93</v>
      </c>
      <c r="H42" s="82" t="s">
        <v>106</v>
      </c>
    </row>
  </sheetData>
  <pageMargins left="0.70866141732283505" right="0.70866141732283505" top="0.74803149606299202" bottom="0.74803149606299202" header="0" footer="0"/>
  <pageSetup paperSize="9" scale="59" orientation="landscape"/>
  <headerFooter>
    <oddFooter>&amp;C&amp;"Calibri,Regular"&amp;K00000010 Changi Business Park Central 2, #03-08 Hansapoint @CBP, Singapore 486030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  <pageSetUpPr fitToPage="1"/>
  </sheetPr>
  <dimension ref="A1:M110"/>
  <sheetViews>
    <sheetView showZeros="0" tabSelected="1" zoomScale="80" zoomScaleNormal="80" workbookViewId="0">
      <pane ySplit="2" topLeftCell="A3" activePane="bottomLeft" state="frozen"/>
      <selection activeCell="H24" sqref="H24"/>
      <selection pane="bottomLeft" activeCell="B5" sqref="B5"/>
    </sheetView>
  </sheetViews>
  <sheetFormatPr baseColWidth="10" defaultColWidth="14.5" defaultRowHeight="15" customHeight="1" x14ac:dyDescent="0.2"/>
  <cols>
    <col min="1" max="1" width="11" style="43" customWidth="1"/>
    <col min="2" max="2" width="50.83203125" style="43" customWidth="1"/>
    <col min="3" max="3" width="40.6640625" style="43" customWidth="1"/>
    <col min="4" max="4" width="30.1640625" style="43" customWidth="1"/>
    <col min="5" max="5" width="6" style="51" customWidth="1"/>
    <col min="6" max="6" width="10.5" style="43" customWidth="1"/>
    <col min="7" max="9" width="16.6640625" customWidth="1"/>
    <col min="10" max="10" width="11" customWidth="1"/>
    <col min="11" max="11" width="14.5" customWidth="1"/>
    <col min="12" max="12" width="21.33203125" customWidth="1"/>
    <col min="13" max="13" width="19.33203125" hidden="1" customWidth="1"/>
    <col min="14" max="26" width="8.6640625" customWidth="1"/>
  </cols>
  <sheetData>
    <row r="1" spans="1:13" ht="66.75" customHeight="1" x14ac:dyDescent="0.2">
      <c r="A1" s="119" t="s">
        <v>109</v>
      </c>
      <c r="B1" s="119"/>
      <c r="C1" s="119"/>
      <c r="D1" s="120"/>
      <c r="E1" s="120"/>
      <c r="F1" s="120"/>
      <c r="G1" s="120"/>
      <c r="H1" s="120"/>
      <c r="I1" s="115"/>
      <c r="J1" s="115"/>
      <c r="K1" s="115"/>
      <c r="L1" s="116"/>
      <c r="M1" s="1"/>
    </row>
    <row r="2" spans="1:13" ht="31.5" customHeight="1" x14ac:dyDescent="0.2">
      <c r="A2" s="42" t="s">
        <v>110</v>
      </c>
      <c r="B2" s="42" t="s">
        <v>111</v>
      </c>
      <c r="C2" s="117" t="s">
        <v>112</v>
      </c>
      <c r="D2" s="118"/>
      <c r="E2" s="48" t="s">
        <v>113</v>
      </c>
      <c r="F2" s="42" t="s">
        <v>114</v>
      </c>
      <c r="G2" s="1" t="s">
        <v>115</v>
      </c>
      <c r="H2" s="41" t="s">
        <v>116</v>
      </c>
      <c r="I2" s="41" t="s">
        <v>117</v>
      </c>
      <c r="J2" s="1" t="s">
        <v>118</v>
      </c>
      <c r="K2" s="1" t="s">
        <v>119</v>
      </c>
      <c r="L2" s="104" t="s">
        <v>120</v>
      </c>
      <c r="M2" s="1" t="s">
        <v>121</v>
      </c>
    </row>
    <row r="3" spans="1:13" ht="18" customHeight="1" x14ac:dyDescent="0.2">
      <c r="A3" s="3"/>
      <c r="B3" s="44"/>
      <c r="C3" s="45"/>
      <c r="D3" s="45"/>
      <c r="E3" s="49"/>
      <c r="F3" s="46"/>
      <c r="G3" s="3"/>
      <c r="H3" s="92"/>
      <c r="I3" s="92"/>
      <c r="J3" s="46"/>
      <c r="K3" s="3"/>
      <c r="L3" s="111"/>
      <c r="M3" s="2" t="str">
        <f>_xlfn.CONCAT(LEFT(A3,1)&amp;K3&amp;LEFT(L3,3))</f>
        <v/>
      </c>
    </row>
    <row r="4" spans="1:13" ht="18" customHeight="1" x14ac:dyDescent="0.2">
      <c r="A4" s="3"/>
      <c r="B4" s="46"/>
      <c r="C4" s="47"/>
      <c r="D4" s="47"/>
      <c r="E4" s="50"/>
      <c r="F4" s="46"/>
      <c r="G4" s="2"/>
      <c r="H4" s="93"/>
      <c r="I4" s="92"/>
      <c r="J4" s="46"/>
      <c r="K4" s="3"/>
      <c r="L4" s="111"/>
      <c r="M4" s="2" t="str">
        <f t="shared" ref="M4:M67" si="0">_xlfn.CONCAT(LEFT(A4,1)&amp;K4&amp;LEFT(L4,3))</f>
        <v/>
      </c>
    </row>
    <row r="5" spans="1:13" ht="18" customHeight="1" x14ac:dyDescent="0.2">
      <c r="A5" s="3"/>
      <c r="B5" s="44"/>
      <c r="C5" s="45"/>
      <c r="D5" s="45"/>
      <c r="E5" s="49"/>
      <c r="F5" s="46"/>
      <c r="G5" s="3"/>
      <c r="H5" s="92"/>
      <c r="I5" s="92"/>
      <c r="J5" s="46"/>
      <c r="K5" s="3"/>
      <c r="L5" s="111"/>
      <c r="M5" s="2" t="str">
        <f t="shared" si="0"/>
        <v/>
      </c>
    </row>
    <row r="6" spans="1:13" ht="18" customHeight="1" x14ac:dyDescent="0.2">
      <c r="A6" s="3"/>
      <c r="B6" s="46"/>
      <c r="C6" s="47"/>
      <c r="D6" s="47"/>
      <c r="E6" s="50"/>
      <c r="F6" s="46"/>
      <c r="G6" s="2"/>
      <c r="H6" s="93"/>
      <c r="I6" s="92"/>
      <c r="J6" s="46"/>
      <c r="K6" s="3"/>
      <c r="L6" s="111"/>
      <c r="M6" s="2" t="str">
        <f t="shared" si="0"/>
        <v/>
      </c>
    </row>
    <row r="7" spans="1:13" ht="18" customHeight="1" x14ac:dyDescent="0.2">
      <c r="A7" s="3"/>
      <c r="B7" s="44"/>
      <c r="C7" s="45"/>
      <c r="D7" s="45"/>
      <c r="E7" s="49"/>
      <c r="F7" s="46"/>
      <c r="G7" s="3"/>
      <c r="H7" s="92"/>
      <c r="I7" s="92"/>
      <c r="J7" s="46"/>
      <c r="K7" s="3"/>
      <c r="L7" s="111"/>
      <c r="M7" s="2" t="str">
        <f t="shared" si="0"/>
        <v/>
      </c>
    </row>
    <row r="8" spans="1:13" ht="18" customHeight="1" x14ac:dyDescent="0.2">
      <c r="A8" s="3"/>
      <c r="B8" s="46"/>
      <c r="C8" s="47"/>
      <c r="D8" s="47"/>
      <c r="E8" s="50"/>
      <c r="F8" s="46"/>
      <c r="G8" s="2"/>
      <c r="H8" s="93"/>
      <c r="I8" s="92"/>
      <c r="J8" s="46"/>
      <c r="K8" s="3"/>
      <c r="L8" s="111"/>
      <c r="M8" s="2" t="str">
        <f t="shared" si="0"/>
        <v/>
      </c>
    </row>
    <row r="9" spans="1:13" ht="18" customHeight="1" x14ac:dyDescent="0.2">
      <c r="A9" s="3"/>
      <c r="B9" s="44"/>
      <c r="C9" s="45"/>
      <c r="D9" s="45"/>
      <c r="E9" s="49"/>
      <c r="F9" s="46"/>
      <c r="G9" s="3"/>
      <c r="H9" s="92"/>
      <c r="I9" s="92"/>
      <c r="J9" s="46"/>
      <c r="K9" s="3"/>
      <c r="L9" s="111"/>
      <c r="M9" s="2" t="str">
        <f t="shared" si="0"/>
        <v/>
      </c>
    </row>
    <row r="10" spans="1:13" ht="18" customHeight="1" x14ac:dyDescent="0.2">
      <c r="A10" s="3"/>
      <c r="B10" s="46"/>
      <c r="C10" s="47"/>
      <c r="D10" s="47"/>
      <c r="E10" s="50"/>
      <c r="F10" s="46"/>
      <c r="G10" s="2"/>
      <c r="H10" s="93"/>
      <c r="I10" s="92"/>
      <c r="J10" s="46"/>
      <c r="K10" s="3"/>
      <c r="L10" s="111"/>
      <c r="M10" s="2" t="str">
        <f t="shared" si="0"/>
        <v/>
      </c>
    </row>
    <row r="11" spans="1:13" ht="18" customHeight="1" x14ac:dyDescent="0.2">
      <c r="A11" s="3"/>
      <c r="B11" s="44"/>
      <c r="C11" s="45"/>
      <c r="D11" s="45"/>
      <c r="E11" s="49"/>
      <c r="F11" s="46"/>
      <c r="G11" s="3"/>
      <c r="H11" s="92"/>
      <c r="I11" s="92"/>
      <c r="J11" s="46"/>
      <c r="K11" s="3"/>
      <c r="L11" s="111"/>
      <c r="M11" s="2" t="str">
        <f t="shared" si="0"/>
        <v/>
      </c>
    </row>
    <row r="12" spans="1:13" ht="18" customHeight="1" x14ac:dyDescent="0.2">
      <c r="A12" s="3"/>
      <c r="B12" s="46"/>
      <c r="C12" s="47"/>
      <c r="D12" s="47"/>
      <c r="E12" s="49"/>
      <c r="F12" s="46"/>
      <c r="G12" s="2"/>
      <c r="H12" s="93"/>
      <c r="I12" s="92"/>
      <c r="J12" s="46"/>
      <c r="K12" s="3"/>
      <c r="L12" s="111"/>
      <c r="M12" s="2" t="str">
        <f t="shared" si="0"/>
        <v/>
      </c>
    </row>
    <row r="13" spans="1:13" ht="18" customHeight="1" x14ac:dyDescent="0.2">
      <c r="A13" s="3"/>
      <c r="B13" s="44"/>
      <c r="C13" s="45"/>
      <c r="D13" s="45"/>
      <c r="E13" s="49"/>
      <c r="F13" s="46"/>
      <c r="G13" s="3"/>
      <c r="H13" s="92"/>
      <c r="I13" s="92"/>
      <c r="J13" s="46"/>
      <c r="K13" s="3"/>
      <c r="L13" s="111"/>
      <c r="M13" s="2" t="str">
        <f t="shared" si="0"/>
        <v/>
      </c>
    </row>
    <row r="14" spans="1:13" ht="18" customHeight="1" x14ac:dyDescent="0.2">
      <c r="A14" s="3"/>
      <c r="B14" s="46"/>
      <c r="C14" s="47"/>
      <c r="D14" s="47"/>
      <c r="E14" s="50"/>
      <c r="F14" s="46"/>
      <c r="G14" s="2"/>
      <c r="H14" s="93"/>
      <c r="I14" s="92"/>
      <c r="J14" s="46"/>
      <c r="K14" s="3"/>
      <c r="L14" s="111"/>
      <c r="M14" s="2" t="str">
        <f t="shared" si="0"/>
        <v/>
      </c>
    </row>
    <row r="15" spans="1:13" ht="18" customHeight="1" x14ac:dyDescent="0.2">
      <c r="A15" s="3"/>
      <c r="B15" s="44"/>
      <c r="C15" s="45"/>
      <c r="D15" s="45"/>
      <c r="E15" s="49"/>
      <c r="F15" s="46"/>
      <c r="G15" s="99"/>
      <c r="H15" s="92"/>
      <c r="I15" s="92"/>
      <c r="J15" s="46"/>
      <c r="K15" s="3"/>
      <c r="L15" s="111"/>
      <c r="M15" s="2" t="str">
        <f t="shared" si="0"/>
        <v/>
      </c>
    </row>
    <row r="16" spans="1:13" ht="18" customHeight="1" x14ac:dyDescent="0.2">
      <c r="A16" s="3"/>
      <c r="B16" s="44"/>
      <c r="C16" s="45"/>
      <c r="D16" s="45"/>
      <c r="E16" s="49"/>
      <c r="F16" s="46"/>
      <c r="G16" s="99"/>
      <c r="H16" s="92"/>
      <c r="I16" s="92"/>
      <c r="J16" s="46"/>
      <c r="K16" s="3"/>
      <c r="L16" s="111"/>
      <c r="M16" s="2" t="str">
        <f t="shared" si="0"/>
        <v/>
      </c>
    </row>
    <row r="17" spans="1:13" ht="18" customHeight="1" x14ac:dyDescent="0.2">
      <c r="A17" s="3"/>
      <c r="B17" s="44"/>
      <c r="C17" s="45"/>
      <c r="D17" s="45"/>
      <c r="E17" s="49"/>
      <c r="F17" s="46"/>
      <c r="G17" s="99"/>
      <c r="H17" s="92"/>
      <c r="I17" s="92"/>
      <c r="J17" s="46"/>
      <c r="K17" s="3"/>
      <c r="L17" s="111"/>
      <c r="M17" s="2" t="str">
        <f t="shared" si="0"/>
        <v/>
      </c>
    </row>
    <row r="18" spans="1:13" ht="18" customHeight="1" x14ac:dyDescent="0.2">
      <c r="A18" s="3"/>
      <c r="B18" s="44"/>
      <c r="C18" s="45"/>
      <c r="D18" s="45"/>
      <c r="E18" s="49"/>
      <c r="F18" s="46"/>
      <c r="G18" s="3"/>
      <c r="H18" s="92"/>
      <c r="I18" s="92"/>
      <c r="J18" s="46"/>
      <c r="K18" s="3"/>
      <c r="L18" s="111"/>
      <c r="M18" s="2" t="str">
        <f t="shared" si="0"/>
        <v/>
      </c>
    </row>
    <row r="19" spans="1:13" ht="18" customHeight="1" x14ac:dyDescent="0.2">
      <c r="A19" s="3"/>
      <c r="B19" s="44"/>
      <c r="C19" s="45"/>
      <c r="D19" s="45"/>
      <c r="E19" s="49"/>
      <c r="F19" s="46"/>
      <c r="G19" s="3"/>
      <c r="H19" s="92"/>
      <c r="I19" s="92"/>
      <c r="J19" s="46"/>
      <c r="K19" s="3"/>
      <c r="L19" s="111"/>
      <c r="M19" s="2" t="str">
        <f t="shared" si="0"/>
        <v/>
      </c>
    </row>
    <row r="20" spans="1:13" ht="18" customHeight="1" x14ac:dyDescent="0.2">
      <c r="A20" s="3"/>
      <c r="B20" s="44"/>
      <c r="C20" s="45"/>
      <c r="D20" s="45"/>
      <c r="E20" s="49"/>
      <c r="F20" s="46"/>
      <c r="G20" s="3"/>
      <c r="H20" s="92"/>
      <c r="I20" s="92"/>
      <c r="J20" s="46"/>
      <c r="K20" s="3"/>
      <c r="L20" s="111"/>
      <c r="M20" s="2" t="str">
        <f t="shared" si="0"/>
        <v/>
      </c>
    </row>
    <row r="21" spans="1:13" ht="18" customHeight="1" x14ac:dyDescent="0.2">
      <c r="A21" s="44"/>
      <c r="B21" s="45"/>
      <c r="C21" s="45"/>
      <c r="D21" s="45"/>
      <c r="E21" s="52"/>
      <c r="F21" s="47"/>
      <c r="G21" s="90"/>
      <c r="H21" s="88"/>
      <c r="I21" s="88"/>
      <c r="J21" s="47"/>
      <c r="K21" s="3"/>
      <c r="L21" s="111"/>
      <c r="M21" s="2" t="str">
        <f t="shared" si="0"/>
        <v/>
      </c>
    </row>
    <row r="22" spans="1:13" ht="18" customHeight="1" x14ac:dyDescent="0.2">
      <c r="A22" s="44"/>
      <c r="B22" s="47"/>
      <c r="C22" s="47"/>
      <c r="D22" s="47"/>
      <c r="E22" s="53"/>
      <c r="F22" s="47"/>
      <c r="G22" s="91"/>
      <c r="H22" s="89"/>
      <c r="I22" s="88"/>
      <c r="J22" s="47"/>
      <c r="K22" s="3"/>
      <c r="L22" s="111"/>
      <c r="M22" s="2" t="str">
        <f t="shared" si="0"/>
        <v/>
      </c>
    </row>
    <row r="23" spans="1:13" ht="18" customHeight="1" x14ac:dyDescent="0.2">
      <c r="A23" s="44"/>
      <c r="B23" s="45"/>
      <c r="C23" s="45"/>
      <c r="D23" s="45"/>
      <c r="E23" s="52"/>
      <c r="F23" s="47"/>
      <c r="G23" s="90"/>
      <c r="H23" s="88"/>
      <c r="I23" s="88"/>
      <c r="J23" s="47"/>
      <c r="K23" s="3"/>
      <c r="L23" s="111"/>
      <c r="M23" s="2" t="str">
        <f t="shared" si="0"/>
        <v/>
      </c>
    </row>
    <row r="24" spans="1:13" ht="18" customHeight="1" x14ac:dyDescent="0.2">
      <c r="A24" s="44"/>
      <c r="B24" s="47"/>
      <c r="C24" s="47"/>
      <c r="D24" s="47"/>
      <c r="E24" s="53"/>
      <c r="F24" s="47"/>
      <c r="G24" s="91"/>
      <c r="H24" s="89"/>
      <c r="I24" s="88"/>
      <c r="J24" s="47"/>
      <c r="K24" s="3"/>
      <c r="L24" s="111"/>
      <c r="M24" s="2" t="str">
        <f t="shared" si="0"/>
        <v/>
      </c>
    </row>
    <row r="25" spans="1:13" ht="18" customHeight="1" x14ac:dyDescent="0.2">
      <c r="A25" s="44"/>
      <c r="B25" s="45"/>
      <c r="C25" s="45"/>
      <c r="D25" s="45"/>
      <c r="E25" s="52"/>
      <c r="F25" s="47"/>
      <c r="G25" s="90"/>
      <c r="H25" s="88"/>
      <c r="I25" s="88"/>
      <c r="J25" s="47"/>
      <c r="K25" s="3"/>
      <c r="L25" s="111"/>
      <c r="M25" s="2" t="str">
        <f t="shared" si="0"/>
        <v/>
      </c>
    </row>
    <row r="26" spans="1:13" ht="18" customHeight="1" x14ac:dyDescent="0.2">
      <c r="A26" s="44"/>
      <c r="B26" s="47"/>
      <c r="C26" s="47"/>
      <c r="D26" s="47"/>
      <c r="E26" s="53"/>
      <c r="F26" s="47"/>
      <c r="G26" s="91"/>
      <c r="H26" s="89"/>
      <c r="I26" s="88"/>
      <c r="J26" s="47"/>
      <c r="K26" s="3"/>
      <c r="L26" s="111"/>
      <c r="M26" s="2" t="str">
        <f t="shared" si="0"/>
        <v/>
      </c>
    </row>
    <row r="27" spans="1:13" ht="18" customHeight="1" x14ac:dyDescent="0.2">
      <c r="A27" s="44"/>
      <c r="B27" s="45"/>
      <c r="C27" s="45"/>
      <c r="D27" s="45"/>
      <c r="E27" s="52"/>
      <c r="F27" s="47"/>
      <c r="G27" s="90"/>
      <c r="H27" s="88"/>
      <c r="I27" s="88"/>
      <c r="J27" s="47"/>
      <c r="K27" s="3"/>
      <c r="L27" s="111"/>
      <c r="M27" s="2" t="str">
        <f t="shared" si="0"/>
        <v/>
      </c>
    </row>
    <row r="28" spans="1:13" ht="18" customHeight="1" x14ac:dyDescent="0.2">
      <c r="A28" s="44"/>
      <c r="B28" s="47"/>
      <c r="C28" s="47"/>
      <c r="D28" s="47"/>
      <c r="E28" s="52"/>
      <c r="F28" s="47"/>
      <c r="G28" s="91"/>
      <c r="H28" s="89"/>
      <c r="I28" s="88"/>
      <c r="J28" s="47"/>
      <c r="K28" s="3"/>
      <c r="L28" s="111"/>
      <c r="M28" s="2" t="str">
        <f t="shared" si="0"/>
        <v/>
      </c>
    </row>
    <row r="29" spans="1:13" ht="18" customHeight="1" x14ac:dyDescent="0.2">
      <c r="A29" s="44"/>
      <c r="B29" s="45"/>
      <c r="C29" s="45"/>
      <c r="D29" s="45"/>
      <c r="E29" s="52"/>
      <c r="F29" s="47"/>
      <c r="G29" s="90"/>
      <c r="H29" s="88"/>
      <c r="I29" s="88"/>
      <c r="J29" s="47"/>
      <c r="K29" s="3"/>
      <c r="L29" s="111"/>
      <c r="M29" s="2" t="str">
        <f t="shared" si="0"/>
        <v/>
      </c>
    </row>
    <row r="30" spans="1:13" ht="18" customHeight="1" x14ac:dyDescent="0.2">
      <c r="A30" s="44"/>
      <c r="B30" s="47"/>
      <c r="C30" s="47"/>
      <c r="D30" s="47"/>
      <c r="E30" s="53"/>
      <c r="F30" s="47"/>
      <c r="G30" s="91"/>
      <c r="H30" s="89"/>
      <c r="I30" s="88"/>
      <c r="J30" s="47"/>
      <c r="K30" s="3"/>
      <c r="L30" s="111"/>
      <c r="M30" s="2" t="str">
        <f t="shared" si="0"/>
        <v/>
      </c>
    </row>
    <row r="31" spans="1:13" ht="18" customHeight="1" x14ac:dyDescent="0.2">
      <c r="A31" s="44"/>
      <c r="B31" s="45"/>
      <c r="C31" s="45"/>
      <c r="D31" s="45"/>
      <c r="E31" s="52"/>
      <c r="F31" s="47"/>
      <c r="G31" s="90"/>
      <c r="H31" s="88"/>
      <c r="I31" s="88"/>
      <c r="J31" s="47"/>
      <c r="K31" s="3"/>
      <c r="L31" s="111"/>
      <c r="M31" s="2" t="str">
        <f t="shared" si="0"/>
        <v/>
      </c>
    </row>
    <row r="32" spans="1:13" ht="18" customHeight="1" x14ac:dyDescent="0.2">
      <c r="A32" s="44"/>
      <c r="B32" s="45"/>
      <c r="C32" s="45"/>
      <c r="D32" s="45"/>
      <c r="E32" s="52"/>
      <c r="F32" s="47"/>
      <c r="G32" s="90"/>
      <c r="H32" s="88"/>
      <c r="I32" s="88"/>
      <c r="J32" s="47"/>
      <c r="K32" s="3"/>
      <c r="L32" s="111"/>
      <c r="M32" s="2" t="str">
        <f t="shared" si="0"/>
        <v/>
      </c>
    </row>
    <row r="33" spans="1:13" ht="18" customHeight="1" x14ac:dyDescent="0.2">
      <c r="A33" s="44"/>
      <c r="B33" s="45"/>
      <c r="C33" s="45"/>
      <c r="D33" s="45"/>
      <c r="E33" s="52"/>
      <c r="F33" s="47"/>
      <c r="G33" s="90"/>
      <c r="H33" s="88"/>
      <c r="I33" s="88"/>
      <c r="J33" s="47"/>
      <c r="K33" s="3"/>
      <c r="L33" s="111"/>
      <c r="M33" s="2" t="str">
        <f t="shared" si="0"/>
        <v/>
      </c>
    </row>
    <row r="34" spans="1:13" ht="18" customHeight="1" x14ac:dyDescent="0.2">
      <c r="A34" s="44"/>
      <c r="B34" s="45"/>
      <c r="C34" s="45"/>
      <c r="D34" s="45"/>
      <c r="E34" s="52"/>
      <c r="F34" s="47"/>
      <c r="G34" s="90"/>
      <c r="H34" s="88"/>
      <c r="I34" s="88"/>
      <c r="J34" s="47"/>
      <c r="K34" s="3"/>
      <c r="L34" s="111"/>
      <c r="M34" s="2" t="str">
        <f t="shared" si="0"/>
        <v/>
      </c>
    </row>
    <row r="35" spans="1:13" ht="18" customHeight="1" x14ac:dyDescent="0.2">
      <c r="A35" s="44"/>
      <c r="B35" s="45"/>
      <c r="C35" s="45"/>
      <c r="D35" s="45"/>
      <c r="E35" s="52"/>
      <c r="F35" s="47"/>
      <c r="G35" s="90"/>
      <c r="H35" s="88"/>
      <c r="I35" s="88"/>
      <c r="J35" s="47"/>
      <c r="K35" s="3"/>
      <c r="L35" s="111"/>
      <c r="M35" s="2" t="str">
        <f t="shared" si="0"/>
        <v/>
      </c>
    </row>
    <row r="36" spans="1:13" ht="18" customHeight="1" x14ac:dyDescent="0.2">
      <c r="A36" s="44"/>
      <c r="B36" s="45"/>
      <c r="C36" s="45"/>
      <c r="D36" s="45"/>
      <c r="E36" s="52"/>
      <c r="F36" s="47"/>
      <c r="G36" s="90"/>
      <c r="H36" s="88"/>
      <c r="I36" s="88"/>
      <c r="J36" s="47"/>
      <c r="K36" s="3"/>
      <c r="L36" s="111"/>
      <c r="M36" s="2" t="str">
        <f t="shared" si="0"/>
        <v/>
      </c>
    </row>
    <row r="37" spans="1:13" ht="18" customHeight="1" x14ac:dyDescent="0.2">
      <c r="A37" s="44"/>
      <c r="B37" s="45"/>
      <c r="C37" s="47"/>
      <c r="D37" s="47"/>
      <c r="E37" s="53"/>
      <c r="F37" s="45"/>
      <c r="G37" s="91"/>
      <c r="H37" s="89"/>
      <c r="I37" s="89"/>
      <c r="J37" s="47"/>
      <c r="K37" s="3"/>
      <c r="L37" s="111"/>
      <c r="M37" s="2" t="str">
        <f t="shared" si="0"/>
        <v/>
      </c>
    </row>
    <row r="38" spans="1:13" ht="18" customHeight="1" x14ac:dyDescent="0.2">
      <c r="A38" s="44"/>
      <c r="B38" s="45"/>
      <c r="C38" s="47"/>
      <c r="D38" s="47"/>
      <c r="E38" s="53"/>
      <c r="F38" s="45"/>
      <c r="G38" s="91"/>
      <c r="H38" s="89"/>
      <c r="I38" s="89"/>
      <c r="J38" s="47"/>
      <c r="K38" s="3"/>
      <c r="L38" s="111"/>
      <c r="M38" s="2" t="str">
        <f t="shared" si="0"/>
        <v/>
      </c>
    </row>
    <row r="39" spans="1:13" ht="18" customHeight="1" x14ac:dyDescent="0.2">
      <c r="A39" s="44"/>
      <c r="B39" s="45"/>
      <c r="C39" s="47"/>
      <c r="D39" s="47"/>
      <c r="E39" s="53"/>
      <c r="F39" s="45"/>
      <c r="G39" s="91"/>
      <c r="H39" s="89"/>
      <c r="I39" s="89"/>
      <c r="J39" s="47"/>
      <c r="K39" s="3"/>
      <c r="L39" s="111"/>
      <c r="M39" s="2" t="str">
        <f t="shared" si="0"/>
        <v/>
      </c>
    </row>
    <row r="40" spans="1:13" ht="18" customHeight="1" x14ac:dyDescent="0.2">
      <c r="A40" s="44"/>
      <c r="B40" s="45"/>
      <c r="C40" s="47"/>
      <c r="D40" s="47"/>
      <c r="E40" s="53"/>
      <c r="F40" s="45"/>
      <c r="G40" s="91"/>
      <c r="H40" s="89"/>
      <c r="I40" s="89"/>
      <c r="J40" s="47"/>
      <c r="K40" s="3"/>
      <c r="L40" s="111"/>
      <c r="M40" s="2" t="str">
        <f t="shared" si="0"/>
        <v/>
      </c>
    </row>
    <row r="41" spans="1:13" ht="18" customHeight="1" x14ac:dyDescent="0.2">
      <c r="A41" s="44"/>
      <c r="B41" s="45"/>
      <c r="C41" s="47"/>
      <c r="D41" s="47"/>
      <c r="E41" s="53"/>
      <c r="F41" s="45"/>
      <c r="G41" s="91"/>
      <c r="H41" s="89"/>
      <c r="I41" s="89"/>
      <c r="J41" s="47"/>
      <c r="K41" s="3"/>
      <c r="L41" s="111"/>
      <c r="M41" s="2" t="str">
        <f t="shared" si="0"/>
        <v/>
      </c>
    </row>
    <row r="42" spans="1:13" ht="18" customHeight="1" x14ac:dyDescent="0.2">
      <c r="A42" s="44"/>
      <c r="B42" s="45"/>
      <c r="C42" s="47"/>
      <c r="D42" s="47"/>
      <c r="E42" s="53"/>
      <c r="F42" s="45"/>
      <c r="G42" s="91"/>
      <c r="H42" s="89"/>
      <c r="I42" s="89"/>
      <c r="J42" s="47"/>
      <c r="K42" s="3"/>
      <c r="L42" s="111"/>
      <c r="M42" s="2" t="str">
        <f t="shared" si="0"/>
        <v/>
      </c>
    </row>
    <row r="43" spans="1:13" ht="18" customHeight="1" x14ac:dyDescent="0.2">
      <c r="A43" s="44"/>
      <c r="B43" s="45"/>
      <c r="C43" s="47"/>
      <c r="D43" s="47"/>
      <c r="E43" s="53"/>
      <c r="F43" s="45"/>
      <c r="G43" s="91"/>
      <c r="H43" s="89"/>
      <c r="I43" s="89"/>
      <c r="J43" s="47"/>
      <c r="K43" s="3"/>
      <c r="L43" s="111"/>
      <c r="M43" s="2" t="str">
        <f t="shared" si="0"/>
        <v/>
      </c>
    </row>
    <row r="44" spans="1:13" ht="18" customHeight="1" x14ac:dyDescent="0.2">
      <c r="A44" s="44"/>
      <c r="B44" s="45"/>
      <c r="C44" s="47"/>
      <c r="D44" s="47"/>
      <c r="E44" s="53"/>
      <c r="F44" s="45"/>
      <c r="G44" s="91"/>
      <c r="H44" s="89"/>
      <c r="I44" s="89"/>
      <c r="J44" s="47"/>
      <c r="K44" s="3"/>
      <c r="L44" s="111"/>
      <c r="M44" s="2" t="str">
        <f t="shared" si="0"/>
        <v/>
      </c>
    </row>
    <row r="45" spans="1:13" ht="18" customHeight="1" x14ac:dyDescent="0.2">
      <c r="A45" s="44"/>
      <c r="B45" s="45"/>
      <c r="C45" s="47"/>
      <c r="D45" s="47"/>
      <c r="E45" s="53"/>
      <c r="F45" s="45"/>
      <c r="G45" s="91"/>
      <c r="H45" s="89"/>
      <c r="I45" s="89"/>
      <c r="J45" s="47"/>
      <c r="K45" s="3"/>
      <c r="L45" s="111"/>
      <c r="M45" s="2" t="str">
        <f t="shared" si="0"/>
        <v/>
      </c>
    </row>
    <row r="46" spans="1:13" ht="18" customHeight="1" x14ac:dyDescent="0.2">
      <c r="A46" s="44"/>
      <c r="B46" s="45"/>
      <c r="C46" s="47"/>
      <c r="D46" s="47"/>
      <c r="E46" s="53"/>
      <c r="F46" s="45"/>
      <c r="G46" s="91"/>
      <c r="H46" s="89"/>
      <c r="I46" s="89"/>
      <c r="J46" s="47"/>
      <c r="K46" s="3"/>
      <c r="L46" s="111"/>
      <c r="M46" s="2" t="str">
        <f t="shared" si="0"/>
        <v/>
      </c>
    </row>
    <row r="47" spans="1:13" ht="18" customHeight="1" x14ac:dyDescent="0.2">
      <c r="A47" s="44"/>
      <c r="B47" s="45"/>
      <c r="C47" s="47"/>
      <c r="D47" s="47"/>
      <c r="E47" s="53"/>
      <c r="F47" s="45"/>
      <c r="G47" s="91"/>
      <c r="H47" s="89"/>
      <c r="I47" s="89"/>
      <c r="J47" s="47"/>
      <c r="K47" s="3"/>
      <c r="L47" s="111"/>
      <c r="M47" s="2" t="str">
        <f t="shared" si="0"/>
        <v/>
      </c>
    </row>
    <row r="48" spans="1:13" ht="18" customHeight="1" x14ac:dyDescent="0.2">
      <c r="A48" s="44"/>
      <c r="B48" s="45"/>
      <c r="C48" s="47"/>
      <c r="D48" s="47"/>
      <c r="E48" s="53"/>
      <c r="F48" s="45"/>
      <c r="G48" s="91"/>
      <c r="H48" s="89"/>
      <c r="I48" s="89"/>
      <c r="J48" s="47"/>
      <c r="K48" s="3"/>
      <c r="L48" s="111"/>
      <c r="M48" s="2" t="str">
        <f t="shared" si="0"/>
        <v/>
      </c>
    </row>
    <row r="49" spans="1:13" ht="18" customHeight="1" x14ac:dyDescent="0.2">
      <c r="A49" s="44"/>
      <c r="B49" s="45"/>
      <c r="C49" s="47"/>
      <c r="D49" s="47"/>
      <c r="E49" s="53"/>
      <c r="F49" s="45"/>
      <c r="G49" s="91"/>
      <c r="H49" s="89"/>
      <c r="I49" s="89"/>
      <c r="J49" s="47"/>
      <c r="K49" s="3"/>
      <c r="L49" s="111"/>
      <c r="M49" s="2" t="str">
        <f t="shared" si="0"/>
        <v/>
      </c>
    </row>
    <row r="50" spans="1:13" ht="18" customHeight="1" x14ac:dyDescent="0.2">
      <c r="A50" s="44"/>
      <c r="B50" s="45"/>
      <c r="C50" s="47"/>
      <c r="D50" s="47"/>
      <c r="E50" s="53"/>
      <c r="F50" s="45"/>
      <c r="G50" s="91"/>
      <c r="H50" s="89"/>
      <c r="I50" s="89"/>
      <c r="J50" s="47"/>
      <c r="K50" s="3"/>
      <c r="L50" s="111"/>
      <c r="M50" s="2" t="str">
        <f t="shared" si="0"/>
        <v/>
      </c>
    </row>
    <row r="51" spans="1:13" ht="18" customHeight="1" x14ac:dyDescent="0.2">
      <c r="A51" s="44"/>
      <c r="B51" s="45"/>
      <c r="C51" s="47"/>
      <c r="D51" s="47"/>
      <c r="E51" s="53"/>
      <c r="F51" s="45"/>
      <c r="G51" s="91"/>
      <c r="H51" s="89"/>
      <c r="I51" s="89"/>
      <c r="J51" s="47"/>
      <c r="K51" s="3"/>
      <c r="L51" s="111"/>
      <c r="M51" s="2" t="str">
        <f t="shared" si="0"/>
        <v/>
      </c>
    </row>
    <row r="52" spans="1:13" ht="18" customHeight="1" x14ac:dyDescent="0.2">
      <c r="A52" s="44"/>
      <c r="B52" s="45"/>
      <c r="C52" s="47"/>
      <c r="D52" s="47"/>
      <c r="E52" s="53"/>
      <c r="F52" s="45"/>
      <c r="G52" s="91"/>
      <c r="H52" s="89"/>
      <c r="I52" s="89"/>
      <c r="J52" s="47"/>
      <c r="K52" s="3"/>
      <c r="L52" s="111"/>
      <c r="M52" s="2" t="str">
        <f t="shared" si="0"/>
        <v/>
      </c>
    </row>
    <row r="53" spans="1:13" ht="18" customHeight="1" x14ac:dyDescent="0.2">
      <c r="A53" s="44"/>
      <c r="B53" s="45"/>
      <c r="C53" s="47"/>
      <c r="D53" s="47"/>
      <c r="E53" s="53"/>
      <c r="F53" s="45"/>
      <c r="G53" s="91"/>
      <c r="H53" s="89"/>
      <c r="I53" s="89"/>
      <c r="J53" s="47"/>
      <c r="K53" s="3"/>
      <c r="L53" s="111"/>
      <c r="M53" s="2" t="str">
        <f t="shared" si="0"/>
        <v/>
      </c>
    </row>
    <row r="54" spans="1:13" ht="18" customHeight="1" x14ac:dyDescent="0.2">
      <c r="A54" s="44"/>
      <c r="B54" s="45"/>
      <c r="C54" s="47"/>
      <c r="D54" s="47"/>
      <c r="E54" s="53"/>
      <c r="F54" s="45"/>
      <c r="G54" s="91"/>
      <c r="H54" s="89"/>
      <c r="I54" s="89"/>
      <c r="J54" s="47"/>
      <c r="K54" s="3"/>
      <c r="L54" s="111"/>
      <c r="M54" s="2" t="str">
        <f t="shared" si="0"/>
        <v/>
      </c>
    </row>
    <row r="55" spans="1:13" ht="18" customHeight="1" x14ac:dyDescent="0.2">
      <c r="A55" s="44"/>
      <c r="B55" s="45"/>
      <c r="C55" s="47"/>
      <c r="D55" s="47"/>
      <c r="E55" s="53"/>
      <c r="F55" s="45"/>
      <c r="G55" s="91"/>
      <c r="H55" s="89"/>
      <c r="I55" s="89"/>
      <c r="J55" s="47"/>
      <c r="K55" s="3"/>
      <c r="L55" s="111"/>
      <c r="M55" s="2" t="str">
        <f t="shared" si="0"/>
        <v/>
      </c>
    </row>
    <row r="56" spans="1:13" ht="18" customHeight="1" x14ac:dyDescent="0.2">
      <c r="A56" s="44"/>
      <c r="B56" s="45"/>
      <c r="C56" s="47"/>
      <c r="D56" s="47"/>
      <c r="E56" s="53"/>
      <c r="F56" s="45"/>
      <c r="G56" s="91"/>
      <c r="H56" s="89"/>
      <c r="I56" s="89"/>
      <c r="J56" s="47"/>
      <c r="K56" s="3"/>
      <c r="L56" s="111"/>
      <c r="M56" s="2" t="str">
        <f t="shared" si="0"/>
        <v/>
      </c>
    </row>
    <row r="57" spans="1:13" ht="18" customHeight="1" x14ac:dyDescent="0.2">
      <c r="A57" s="44"/>
      <c r="B57" s="47"/>
      <c r="C57" s="47"/>
      <c r="D57" s="47"/>
      <c r="E57" s="53"/>
      <c r="F57" s="47"/>
      <c r="G57" s="91"/>
      <c r="H57" s="89"/>
      <c r="I57" s="89"/>
      <c r="J57" s="47"/>
      <c r="K57" s="3"/>
      <c r="L57" s="111"/>
      <c r="M57" s="2" t="str">
        <f t="shared" si="0"/>
        <v/>
      </c>
    </row>
    <row r="58" spans="1:13" ht="18" customHeight="1" x14ac:dyDescent="0.2">
      <c r="A58" s="44"/>
      <c r="B58" s="47"/>
      <c r="C58" s="47"/>
      <c r="D58" s="47"/>
      <c r="E58" s="53"/>
      <c r="F58" s="47"/>
      <c r="G58" s="90"/>
      <c r="H58" s="89"/>
      <c r="I58" s="89"/>
      <c r="J58" s="45"/>
      <c r="K58" s="3"/>
      <c r="L58" s="111"/>
      <c r="M58" s="2" t="str">
        <f t="shared" si="0"/>
        <v/>
      </c>
    </row>
    <row r="59" spans="1:13" ht="18" customHeight="1" x14ac:dyDescent="0.2">
      <c r="A59" s="44"/>
      <c r="B59" s="45"/>
      <c r="C59" s="47"/>
      <c r="D59" s="47"/>
      <c r="E59" s="53"/>
      <c r="F59" s="45"/>
      <c r="G59" s="91"/>
      <c r="H59" s="89"/>
      <c r="I59" s="89"/>
      <c r="J59" s="47"/>
      <c r="K59" s="3"/>
      <c r="L59" s="111"/>
      <c r="M59" s="2" t="str">
        <f t="shared" si="0"/>
        <v/>
      </c>
    </row>
    <row r="60" spans="1:13" ht="18" customHeight="1" x14ac:dyDescent="0.2">
      <c r="A60" s="44"/>
      <c r="B60" s="45"/>
      <c r="C60" s="47"/>
      <c r="D60" s="47"/>
      <c r="E60" s="53"/>
      <c r="F60" s="45"/>
      <c r="G60" s="91"/>
      <c r="H60" s="89"/>
      <c r="I60" s="89"/>
      <c r="J60" s="47"/>
      <c r="K60" s="3"/>
      <c r="L60" s="111"/>
      <c r="M60" s="2" t="str">
        <f t="shared" si="0"/>
        <v/>
      </c>
    </row>
    <row r="61" spans="1:13" ht="18" customHeight="1" x14ac:dyDescent="0.2">
      <c r="A61" s="44"/>
      <c r="B61" s="45"/>
      <c r="C61" s="47"/>
      <c r="D61" s="47"/>
      <c r="E61" s="53"/>
      <c r="F61" s="45"/>
      <c r="G61" s="91"/>
      <c r="H61" s="89"/>
      <c r="I61" s="89"/>
      <c r="J61" s="47"/>
      <c r="K61" s="3"/>
      <c r="L61" s="111"/>
      <c r="M61" s="2" t="str">
        <f t="shared" si="0"/>
        <v/>
      </c>
    </row>
    <row r="62" spans="1:13" ht="18" customHeight="1" x14ac:dyDescent="0.2">
      <c r="A62" s="44"/>
      <c r="B62" s="45"/>
      <c r="C62" s="47"/>
      <c r="D62" s="47"/>
      <c r="E62" s="53"/>
      <c r="F62" s="45"/>
      <c r="G62" s="91"/>
      <c r="H62" s="89"/>
      <c r="I62" s="89"/>
      <c r="J62" s="47"/>
      <c r="K62" s="3"/>
      <c r="L62" s="111"/>
      <c r="M62" s="2" t="str">
        <f t="shared" si="0"/>
        <v/>
      </c>
    </row>
    <row r="63" spans="1:13" ht="18" customHeight="1" x14ac:dyDescent="0.2">
      <c r="A63" s="44"/>
      <c r="B63" s="45"/>
      <c r="C63" s="47"/>
      <c r="D63" s="47"/>
      <c r="E63" s="53"/>
      <c r="F63" s="45"/>
      <c r="G63" s="91"/>
      <c r="H63" s="89"/>
      <c r="I63" s="89"/>
      <c r="J63" s="47"/>
      <c r="K63" s="3"/>
      <c r="L63" s="111"/>
      <c r="M63" s="2" t="str">
        <f t="shared" si="0"/>
        <v/>
      </c>
    </row>
    <row r="64" spans="1:13" ht="18" customHeight="1" x14ac:dyDescent="0.2">
      <c r="A64" s="44"/>
      <c r="B64" s="45"/>
      <c r="C64" s="47"/>
      <c r="D64" s="47"/>
      <c r="E64" s="53"/>
      <c r="F64" s="45"/>
      <c r="G64" s="91"/>
      <c r="H64" s="89"/>
      <c r="I64" s="89"/>
      <c r="J64" s="47"/>
      <c r="K64" s="3"/>
      <c r="L64" s="111"/>
      <c r="M64" s="2" t="str">
        <f t="shared" si="0"/>
        <v/>
      </c>
    </row>
    <row r="65" spans="1:13" ht="18" customHeight="1" x14ac:dyDescent="0.2">
      <c r="A65" s="44"/>
      <c r="B65" s="45"/>
      <c r="C65" s="47"/>
      <c r="D65" s="47"/>
      <c r="E65" s="53"/>
      <c r="F65" s="45"/>
      <c r="G65" s="91"/>
      <c r="H65" s="89"/>
      <c r="I65" s="89"/>
      <c r="J65" s="47"/>
      <c r="K65" s="3"/>
      <c r="L65" s="111"/>
      <c r="M65" s="2" t="str">
        <f t="shared" si="0"/>
        <v/>
      </c>
    </row>
    <row r="66" spans="1:13" ht="18" customHeight="1" x14ac:dyDescent="0.2">
      <c r="A66" s="44"/>
      <c r="B66" s="45"/>
      <c r="C66" s="47"/>
      <c r="D66" s="47"/>
      <c r="E66" s="53"/>
      <c r="F66" s="45"/>
      <c r="G66" s="91"/>
      <c r="H66" s="89"/>
      <c r="I66" s="89"/>
      <c r="J66" s="47"/>
      <c r="K66" s="3"/>
      <c r="L66" s="111"/>
      <c r="M66" s="2" t="str">
        <f t="shared" si="0"/>
        <v/>
      </c>
    </row>
    <row r="67" spans="1:13" ht="18" customHeight="1" x14ac:dyDescent="0.2">
      <c r="A67" s="44"/>
      <c r="B67" s="45"/>
      <c r="C67" s="47"/>
      <c r="D67" s="47"/>
      <c r="E67" s="53"/>
      <c r="F67" s="45"/>
      <c r="G67" s="91"/>
      <c r="H67" s="89"/>
      <c r="I67" s="89"/>
      <c r="J67" s="47"/>
      <c r="K67" s="3"/>
      <c r="L67" s="111"/>
      <c r="M67" s="2" t="str">
        <f t="shared" si="0"/>
        <v/>
      </c>
    </row>
    <row r="68" spans="1:13" ht="18" customHeight="1" x14ac:dyDescent="0.2">
      <c r="A68" s="44"/>
      <c r="B68" s="45"/>
      <c r="C68" s="45"/>
      <c r="D68" s="45"/>
      <c r="E68" s="52"/>
      <c r="F68" s="45"/>
      <c r="G68" s="90"/>
      <c r="H68" s="88"/>
      <c r="I68" s="88"/>
      <c r="J68" s="47"/>
      <c r="K68" s="3"/>
      <c r="L68" s="111"/>
      <c r="M68" s="2" t="str">
        <f t="shared" ref="M68:M110" si="1">_xlfn.CONCAT(LEFT(A68,1)&amp;K68&amp;LEFT(L68,3))</f>
        <v/>
      </c>
    </row>
    <row r="69" spans="1:13" ht="18" customHeight="1" x14ac:dyDescent="0.2">
      <c r="A69" s="44"/>
      <c r="B69" s="45"/>
      <c r="C69" s="45"/>
      <c r="D69" s="45"/>
      <c r="E69" s="52"/>
      <c r="F69" s="45"/>
      <c r="G69" s="90"/>
      <c r="H69" s="88"/>
      <c r="I69" s="88"/>
      <c r="J69" s="47"/>
      <c r="K69" s="3"/>
      <c r="L69" s="111"/>
      <c r="M69" s="2" t="str">
        <f t="shared" si="1"/>
        <v/>
      </c>
    </row>
    <row r="70" spans="1:13" ht="18" customHeight="1" x14ac:dyDescent="0.2">
      <c r="A70" s="44"/>
      <c r="B70" s="45"/>
      <c r="C70" s="45"/>
      <c r="D70" s="45"/>
      <c r="E70" s="52"/>
      <c r="F70" s="45"/>
      <c r="G70" s="90"/>
      <c r="H70" s="89"/>
      <c r="I70" s="89"/>
      <c r="J70" s="47"/>
      <c r="K70" s="3"/>
      <c r="L70" s="111"/>
      <c r="M70" s="2" t="str">
        <f t="shared" si="1"/>
        <v/>
      </c>
    </row>
    <row r="71" spans="1:13" ht="18" customHeight="1" x14ac:dyDescent="0.2">
      <c r="A71" s="44"/>
      <c r="B71" s="45"/>
      <c r="C71" s="45"/>
      <c r="D71" s="45"/>
      <c r="E71" s="52"/>
      <c r="F71" s="45"/>
      <c r="G71" s="90"/>
      <c r="H71" s="89"/>
      <c r="I71" s="89"/>
      <c r="J71" s="47"/>
      <c r="K71" s="3"/>
      <c r="L71" s="111"/>
      <c r="M71" s="2" t="str">
        <f t="shared" si="1"/>
        <v/>
      </c>
    </row>
    <row r="72" spans="1:13" ht="18" customHeight="1" x14ac:dyDescent="0.2">
      <c r="A72" s="44"/>
      <c r="B72" s="45"/>
      <c r="C72" s="45"/>
      <c r="D72" s="45"/>
      <c r="E72" s="52"/>
      <c r="F72" s="45"/>
      <c r="G72" s="90"/>
      <c r="H72" s="88"/>
      <c r="I72" s="88"/>
      <c r="J72" s="47"/>
      <c r="K72" s="3"/>
      <c r="L72" s="111"/>
      <c r="M72" s="2" t="str">
        <f t="shared" si="1"/>
        <v/>
      </c>
    </row>
    <row r="73" spans="1:13" ht="18" customHeight="1" x14ac:dyDescent="0.2">
      <c r="A73" s="44"/>
      <c r="B73" s="45"/>
      <c r="C73" s="45"/>
      <c r="D73" s="47"/>
      <c r="E73" s="52"/>
      <c r="F73" s="45"/>
      <c r="G73" s="90"/>
      <c r="H73" s="88"/>
      <c r="I73" s="89"/>
      <c r="J73" s="47"/>
      <c r="K73" s="3"/>
      <c r="L73" s="111"/>
      <c r="M73" s="2" t="str">
        <f t="shared" si="1"/>
        <v/>
      </c>
    </row>
    <row r="74" spans="1:13" ht="18" customHeight="1" x14ac:dyDescent="0.2">
      <c r="A74" s="44"/>
      <c r="B74" s="47"/>
      <c r="C74" s="47"/>
      <c r="D74" s="47"/>
      <c r="E74" s="53"/>
      <c r="F74" s="47"/>
      <c r="G74" s="91"/>
      <c r="H74" s="89"/>
      <c r="I74" s="89"/>
      <c r="J74" s="47"/>
      <c r="K74" s="2"/>
      <c r="L74" s="111"/>
      <c r="M74" s="2" t="str">
        <f t="shared" si="1"/>
        <v/>
      </c>
    </row>
    <row r="75" spans="1:13" ht="18" customHeight="1" x14ac:dyDescent="0.2">
      <c r="A75" s="44"/>
      <c r="B75" s="47"/>
      <c r="C75" s="47"/>
      <c r="D75" s="47"/>
      <c r="E75" s="53"/>
      <c r="F75" s="47"/>
      <c r="G75" s="91"/>
      <c r="H75" s="89"/>
      <c r="I75" s="89"/>
      <c r="J75" s="47"/>
      <c r="K75" s="2"/>
      <c r="L75" s="111"/>
      <c r="M75" s="2" t="str">
        <f t="shared" si="1"/>
        <v/>
      </c>
    </row>
    <row r="76" spans="1:13" ht="18" customHeight="1" x14ac:dyDescent="0.2">
      <c r="A76" s="44"/>
      <c r="B76" s="47"/>
      <c r="C76" s="47"/>
      <c r="D76" s="47"/>
      <c r="E76" s="53"/>
      <c r="F76" s="47"/>
      <c r="G76" s="91"/>
      <c r="H76" s="89"/>
      <c r="I76" s="89"/>
      <c r="J76" s="47"/>
      <c r="K76" s="2"/>
      <c r="L76" s="111"/>
      <c r="M76" s="2" t="str">
        <f t="shared" si="1"/>
        <v/>
      </c>
    </row>
    <row r="77" spans="1:13" ht="18" customHeight="1" x14ac:dyDescent="0.2">
      <c r="A77" s="44"/>
      <c r="B77" s="47"/>
      <c r="C77" s="47"/>
      <c r="D77" s="47"/>
      <c r="E77" s="53"/>
      <c r="F77" s="47"/>
      <c r="G77" s="91"/>
      <c r="H77" s="89"/>
      <c r="I77" s="89"/>
      <c r="J77" s="47"/>
      <c r="K77" s="2"/>
      <c r="L77" s="111"/>
      <c r="M77" s="2" t="str">
        <f t="shared" si="1"/>
        <v/>
      </c>
    </row>
    <row r="78" spans="1:13" ht="18" customHeight="1" x14ac:dyDescent="0.2">
      <c r="A78" s="44"/>
      <c r="B78" s="47"/>
      <c r="C78" s="47"/>
      <c r="D78" s="47"/>
      <c r="E78" s="53"/>
      <c r="F78" s="47"/>
      <c r="G78" s="91"/>
      <c r="H78" s="89"/>
      <c r="I78" s="89"/>
      <c r="J78" s="47"/>
      <c r="K78" s="2"/>
      <c r="L78" s="111"/>
      <c r="M78" s="2" t="str">
        <f t="shared" si="1"/>
        <v/>
      </c>
    </row>
    <row r="79" spans="1:13" ht="18" customHeight="1" x14ac:dyDescent="0.2">
      <c r="A79" s="44"/>
      <c r="B79" s="47"/>
      <c r="C79" s="47"/>
      <c r="D79" s="47"/>
      <c r="E79" s="53"/>
      <c r="F79" s="47"/>
      <c r="G79" s="91"/>
      <c r="H79" s="89"/>
      <c r="I79" s="89"/>
      <c r="J79" s="47"/>
      <c r="K79" s="2"/>
      <c r="L79" s="111"/>
      <c r="M79" s="2" t="str">
        <f t="shared" si="1"/>
        <v/>
      </c>
    </row>
    <row r="80" spans="1:13" ht="18" customHeight="1" x14ac:dyDescent="0.2">
      <c r="A80" s="44"/>
      <c r="B80" s="47"/>
      <c r="C80" s="47"/>
      <c r="D80" s="47"/>
      <c r="E80" s="53"/>
      <c r="F80" s="47"/>
      <c r="G80" s="91"/>
      <c r="H80" s="89"/>
      <c r="I80" s="89"/>
      <c r="J80" s="47"/>
      <c r="K80" s="2"/>
      <c r="L80" s="111"/>
      <c r="M80" s="2" t="str">
        <f t="shared" si="1"/>
        <v/>
      </c>
    </row>
    <row r="81" spans="1:13" ht="18" customHeight="1" x14ac:dyDescent="0.2">
      <c r="A81" s="44"/>
      <c r="B81" s="47"/>
      <c r="C81" s="47"/>
      <c r="D81" s="47"/>
      <c r="E81" s="53"/>
      <c r="F81" s="47"/>
      <c r="G81" s="91"/>
      <c r="H81" s="89"/>
      <c r="I81" s="89"/>
      <c r="J81" s="47"/>
      <c r="K81" s="2"/>
      <c r="L81" s="111"/>
      <c r="M81" s="2" t="str">
        <f t="shared" si="1"/>
        <v/>
      </c>
    </row>
    <row r="82" spans="1:13" ht="18" customHeight="1" x14ac:dyDescent="0.2">
      <c r="A82" s="44"/>
      <c r="B82" s="47"/>
      <c r="C82" s="47"/>
      <c r="D82" s="47"/>
      <c r="E82" s="53"/>
      <c r="F82" s="47"/>
      <c r="G82" s="91"/>
      <c r="H82" s="89"/>
      <c r="I82" s="89"/>
      <c r="J82" s="47"/>
      <c r="K82" s="2"/>
      <c r="L82" s="111"/>
      <c r="M82" s="2" t="str">
        <f t="shared" si="1"/>
        <v/>
      </c>
    </row>
    <row r="83" spans="1:13" ht="18" customHeight="1" x14ac:dyDescent="0.2">
      <c r="A83" s="44"/>
      <c r="B83" s="47"/>
      <c r="C83" s="47"/>
      <c r="D83" s="47"/>
      <c r="E83" s="53"/>
      <c r="F83" s="47"/>
      <c r="G83" s="91"/>
      <c r="H83" s="89"/>
      <c r="I83" s="89"/>
      <c r="J83" s="47"/>
      <c r="K83" s="2"/>
      <c r="L83" s="111"/>
      <c r="M83" s="2" t="str">
        <f t="shared" si="1"/>
        <v/>
      </c>
    </row>
    <row r="84" spans="1:13" ht="18" customHeight="1" x14ac:dyDescent="0.2">
      <c r="A84" s="44"/>
      <c r="B84" s="47"/>
      <c r="C84" s="47"/>
      <c r="D84" s="47"/>
      <c r="E84" s="53"/>
      <c r="F84" s="47"/>
      <c r="G84" s="91"/>
      <c r="H84" s="89"/>
      <c r="I84" s="89"/>
      <c r="J84" s="47"/>
      <c r="K84" s="2"/>
      <c r="L84" s="111"/>
      <c r="M84" s="2" t="str">
        <f t="shared" si="1"/>
        <v/>
      </c>
    </row>
    <row r="85" spans="1:13" ht="18" customHeight="1" x14ac:dyDescent="0.2">
      <c r="A85" s="44"/>
      <c r="B85" s="47"/>
      <c r="C85" s="47"/>
      <c r="D85" s="47"/>
      <c r="E85" s="53"/>
      <c r="F85" s="47"/>
      <c r="G85" s="91"/>
      <c r="H85" s="89"/>
      <c r="I85" s="89"/>
      <c r="J85" s="47"/>
      <c r="K85" s="2"/>
      <c r="L85" s="111"/>
      <c r="M85" s="2" t="str">
        <f t="shared" si="1"/>
        <v/>
      </c>
    </row>
    <row r="86" spans="1:13" ht="18" customHeight="1" x14ac:dyDescent="0.2">
      <c r="A86" s="44"/>
      <c r="B86" s="47"/>
      <c r="C86" s="47"/>
      <c r="D86" s="47"/>
      <c r="E86" s="53"/>
      <c r="F86" s="47"/>
      <c r="G86" s="91"/>
      <c r="H86" s="89"/>
      <c r="I86" s="89"/>
      <c r="J86" s="47"/>
      <c r="K86" s="2"/>
      <c r="L86" s="111"/>
      <c r="M86" s="2" t="str">
        <f t="shared" si="1"/>
        <v/>
      </c>
    </row>
    <row r="87" spans="1:13" ht="18" customHeight="1" x14ac:dyDescent="0.2">
      <c r="A87" s="44"/>
      <c r="B87" s="47"/>
      <c r="C87" s="47"/>
      <c r="D87" s="47"/>
      <c r="E87" s="53"/>
      <c r="F87" s="47"/>
      <c r="G87" s="91"/>
      <c r="H87" s="89"/>
      <c r="I87" s="89"/>
      <c r="J87" s="47"/>
      <c r="K87" s="2"/>
      <c r="L87" s="111"/>
      <c r="M87" s="2" t="str">
        <f t="shared" si="1"/>
        <v/>
      </c>
    </row>
    <row r="88" spans="1:13" ht="18" customHeight="1" x14ac:dyDescent="0.2">
      <c r="A88" s="44"/>
      <c r="B88" s="47"/>
      <c r="C88" s="47"/>
      <c r="D88" s="47"/>
      <c r="E88" s="53"/>
      <c r="F88" s="47"/>
      <c r="G88" s="91"/>
      <c r="H88" s="89"/>
      <c r="I88" s="89"/>
      <c r="J88" s="47"/>
      <c r="K88" s="2"/>
      <c r="L88" s="111"/>
      <c r="M88" s="2" t="str">
        <f t="shared" si="1"/>
        <v/>
      </c>
    </row>
    <row r="89" spans="1:13" ht="18" customHeight="1" x14ac:dyDescent="0.2">
      <c r="A89" s="44"/>
      <c r="B89" s="47"/>
      <c r="C89" s="47"/>
      <c r="D89" s="47"/>
      <c r="E89" s="53"/>
      <c r="F89" s="47"/>
      <c r="G89" s="91"/>
      <c r="H89" s="89"/>
      <c r="I89" s="89"/>
      <c r="J89" s="47"/>
      <c r="K89" s="2"/>
      <c r="L89" s="111"/>
      <c r="M89" s="2" t="str">
        <f t="shared" si="1"/>
        <v/>
      </c>
    </row>
    <row r="90" spans="1:13" ht="18" customHeight="1" x14ac:dyDescent="0.2">
      <c r="A90" s="44"/>
      <c r="B90" s="47"/>
      <c r="C90" s="47"/>
      <c r="D90" s="47"/>
      <c r="E90" s="53"/>
      <c r="F90" s="47"/>
      <c r="G90" s="91"/>
      <c r="H90" s="89"/>
      <c r="I90" s="89"/>
      <c r="J90" s="47"/>
      <c r="K90" s="2"/>
      <c r="L90" s="111"/>
      <c r="M90" s="2" t="str">
        <f t="shared" si="1"/>
        <v/>
      </c>
    </row>
    <row r="91" spans="1:13" ht="18" customHeight="1" x14ac:dyDescent="0.2">
      <c r="A91" s="44"/>
      <c r="B91" s="47"/>
      <c r="C91" s="47"/>
      <c r="D91" s="47"/>
      <c r="E91" s="53"/>
      <c r="F91" s="47"/>
      <c r="G91" s="91"/>
      <c r="H91" s="89"/>
      <c r="I91" s="89"/>
      <c r="J91" s="47"/>
      <c r="K91" s="2"/>
      <c r="L91" s="111"/>
      <c r="M91" s="2" t="str">
        <f t="shared" si="1"/>
        <v/>
      </c>
    </row>
    <row r="92" spans="1:13" ht="18" customHeight="1" x14ac:dyDescent="0.2">
      <c r="A92" s="44"/>
      <c r="B92" s="47"/>
      <c r="C92" s="47"/>
      <c r="D92" s="47"/>
      <c r="E92" s="53"/>
      <c r="F92" s="47"/>
      <c r="G92" s="91"/>
      <c r="H92" s="89"/>
      <c r="I92" s="89"/>
      <c r="J92" s="47"/>
      <c r="K92" s="2"/>
      <c r="L92" s="111"/>
      <c r="M92" s="2" t="str">
        <f t="shared" si="1"/>
        <v/>
      </c>
    </row>
    <row r="93" spans="1:13" ht="18" customHeight="1" x14ac:dyDescent="0.2">
      <c r="A93" s="44"/>
      <c r="B93" s="47"/>
      <c r="C93" s="47"/>
      <c r="D93" s="47"/>
      <c r="E93" s="53"/>
      <c r="F93" s="47"/>
      <c r="G93" s="91"/>
      <c r="H93" s="89"/>
      <c r="I93" s="89"/>
      <c r="J93" s="47"/>
      <c r="K93" s="2"/>
      <c r="L93" s="111"/>
      <c r="M93" s="2" t="str">
        <f t="shared" si="1"/>
        <v/>
      </c>
    </row>
    <row r="94" spans="1:13" ht="18" customHeight="1" x14ac:dyDescent="0.2">
      <c r="A94" s="44"/>
      <c r="B94" s="47"/>
      <c r="C94" s="47"/>
      <c r="D94" s="47"/>
      <c r="E94" s="53"/>
      <c r="F94" s="47"/>
      <c r="G94" s="91"/>
      <c r="H94" s="89"/>
      <c r="I94" s="89"/>
      <c r="J94" s="47"/>
      <c r="K94" s="2"/>
      <c r="L94" s="111"/>
      <c r="M94" s="2" t="str">
        <f t="shared" si="1"/>
        <v/>
      </c>
    </row>
    <row r="95" spans="1:13" ht="18" customHeight="1" x14ac:dyDescent="0.2">
      <c r="A95" s="44"/>
      <c r="B95" s="47"/>
      <c r="C95" s="47"/>
      <c r="D95" s="47"/>
      <c r="E95" s="53"/>
      <c r="F95" s="47"/>
      <c r="G95" s="91"/>
      <c r="H95" s="89"/>
      <c r="I95" s="89"/>
      <c r="J95" s="47"/>
      <c r="K95" s="2"/>
      <c r="L95" s="111"/>
      <c r="M95" s="2" t="str">
        <f t="shared" si="1"/>
        <v/>
      </c>
    </row>
    <row r="96" spans="1:13" ht="18" customHeight="1" x14ac:dyDescent="0.2">
      <c r="A96" s="44"/>
      <c r="B96" s="47"/>
      <c r="C96" s="47"/>
      <c r="D96" s="47"/>
      <c r="E96" s="53"/>
      <c r="F96" s="47"/>
      <c r="G96" s="91"/>
      <c r="H96" s="89"/>
      <c r="I96" s="89"/>
      <c r="J96" s="47"/>
      <c r="K96" s="2"/>
      <c r="L96" s="111"/>
      <c r="M96" s="2" t="str">
        <f t="shared" si="1"/>
        <v/>
      </c>
    </row>
    <row r="97" spans="1:13" ht="18" customHeight="1" x14ac:dyDescent="0.2">
      <c r="A97" s="44"/>
      <c r="B97" s="47"/>
      <c r="C97" s="47"/>
      <c r="D97" s="47"/>
      <c r="E97" s="53"/>
      <c r="F97" s="47"/>
      <c r="G97" s="91"/>
      <c r="H97" s="89"/>
      <c r="I97" s="89"/>
      <c r="J97" s="47"/>
      <c r="K97" s="2"/>
      <c r="L97" s="111"/>
      <c r="M97" s="2" t="str">
        <f t="shared" si="1"/>
        <v/>
      </c>
    </row>
    <row r="98" spans="1:13" ht="18" customHeight="1" x14ac:dyDescent="0.2">
      <c r="A98" s="44"/>
      <c r="B98" s="47"/>
      <c r="C98" s="47"/>
      <c r="D98" s="47"/>
      <c r="E98" s="53"/>
      <c r="F98" s="47"/>
      <c r="G98" s="91"/>
      <c r="H98" s="89"/>
      <c r="I98" s="89"/>
      <c r="J98" s="47"/>
      <c r="K98" s="2"/>
      <c r="L98" s="111"/>
      <c r="M98" s="2" t="str">
        <f t="shared" si="1"/>
        <v/>
      </c>
    </row>
    <row r="99" spans="1:13" ht="18" customHeight="1" x14ac:dyDescent="0.2">
      <c r="A99" s="44"/>
      <c r="B99" s="47"/>
      <c r="C99" s="47"/>
      <c r="D99" s="47"/>
      <c r="E99" s="53"/>
      <c r="F99" s="47"/>
      <c r="G99" s="91"/>
      <c r="H99" s="89"/>
      <c r="I99" s="89"/>
      <c r="J99" s="47"/>
      <c r="K99" s="2"/>
      <c r="L99" s="111"/>
      <c r="M99" s="2" t="str">
        <f t="shared" si="1"/>
        <v/>
      </c>
    </row>
    <row r="100" spans="1:13" ht="18" customHeight="1" x14ac:dyDescent="0.2">
      <c r="A100" s="44"/>
      <c r="B100" s="47"/>
      <c r="C100" s="47"/>
      <c r="D100" s="47"/>
      <c r="E100" s="53"/>
      <c r="F100" s="47"/>
      <c r="G100" s="91"/>
      <c r="H100" s="89"/>
      <c r="I100" s="89"/>
      <c r="J100" s="47"/>
      <c r="K100" s="2"/>
      <c r="L100" s="111"/>
      <c r="M100" s="2" t="str">
        <f t="shared" si="1"/>
        <v/>
      </c>
    </row>
    <row r="101" spans="1:13" ht="18" customHeight="1" x14ac:dyDescent="0.2">
      <c r="A101" s="44"/>
      <c r="B101" s="47"/>
      <c r="C101" s="47"/>
      <c r="D101" s="47"/>
      <c r="E101" s="53"/>
      <c r="F101" s="47"/>
      <c r="G101" s="91"/>
      <c r="H101" s="89"/>
      <c r="I101" s="89"/>
      <c r="J101" s="47"/>
      <c r="K101" s="2"/>
      <c r="L101" s="111"/>
      <c r="M101" s="2" t="str">
        <f t="shared" si="1"/>
        <v/>
      </c>
    </row>
    <row r="102" spans="1:13" ht="18" customHeight="1" x14ac:dyDescent="0.2">
      <c r="A102" s="44"/>
      <c r="B102" s="47"/>
      <c r="C102" s="47"/>
      <c r="D102" s="47"/>
      <c r="E102" s="53"/>
      <c r="F102" s="47"/>
      <c r="G102" s="91"/>
      <c r="H102" s="89"/>
      <c r="I102" s="89"/>
      <c r="J102" s="47"/>
      <c r="K102" s="2"/>
      <c r="L102" s="111"/>
      <c r="M102" s="2" t="str">
        <f t="shared" si="1"/>
        <v/>
      </c>
    </row>
    <row r="103" spans="1:13" ht="18" customHeight="1" x14ac:dyDescent="0.2">
      <c r="A103" s="44"/>
      <c r="B103" s="47"/>
      <c r="C103" s="47"/>
      <c r="D103" s="47"/>
      <c r="E103" s="53"/>
      <c r="F103" s="47"/>
      <c r="G103" s="91"/>
      <c r="H103" s="89"/>
      <c r="I103" s="89"/>
      <c r="J103" s="47"/>
      <c r="K103" s="2"/>
      <c r="L103" s="111"/>
      <c r="M103" s="2" t="str">
        <f t="shared" si="1"/>
        <v/>
      </c>
    </row>
    <row r="104" spans="1:13" ht="18" customHeight="1" x14ac:dyDescent="0.2">
      <c r="A104" s="44"/>
      <c r="B104" s="47"/>
      <c r="C104" s="47"/>
      <c r="D104" s="47"/>
      <c r="E104" s="53"/>
      <c r="F104" s="47"/>
      <c r="G104" s="91"/>
      <c r="H104" s="89"/>
      <c r="I104" s="89"/>
      <c r="J104" s="47"/>
      <c r="K104" s="2"/>
      <c r="L104" s="111"/>
      <c r="M104" s="2" t="str">
        <f t="shared" si="1"/>
        <v/>
      </c>
    </row>
    <row r="105" spans="1:13" ht="18" customHeight="1" x14ac:dyDescent="0.2">
      <c r="A105" s="44"/>
      <c r="B105" s="47"/>
      <c r="C105" s="47"/>
      <c r="D105" s="47"/>
      <c r="E105" s="53"/>
      <c r="F105" s="47"/>
      <c r="G105" s="91"/>
      <c r="H105" s="89"/>
      <c r="I105" s="89"/>
      <c r="J105" s="47"/>
      <c r="K105" s="2"/>
      <c r="L105" s="111"/>
      <c r="M105" s="2" t="str">
        <f t="shared" si="1"/>
        <v/>
      </c>
    </row>
    <row r="106" spans="1:13" ht="18" customHeight="1" x14ac:dyDescent="0.2">
      <c r="A106" s="44"/>
      <c r="B106" s="47"/>
      <c r="C106" s="47"/>
      <c r="D106" s="47"/>
      <c r="E106" s="53"/>
      <c r="F106" s="47"/>
      <c r="G106" s="91"/>
      <c r="H106" s="89"/>
      <c r="I106" s="89"/>
      <c r="J106" s="47"/>
      <c r="K106" s="2"/>
      <c r="L106" s="111"/>
      <c r="M106" s="2" t="str">
        <f t="shared" si="1"/>
        <v/>
      </c>
    </row>
    <row r="107" spans="1:13" ht="18" customHeight="1" x14ac:dyDescent="0.2">
      <c r="A107" s="44"/>
      <c r="B107" s="47"/>
      <c r="C107" s="47"/>
      <c r="D107" s="47"/>
      <c r="E107" s="53"/>
      <c r="F107" s="47"/>
      <c r="G107" s="91"/>
      <c r="H107" s="89"/>
      <c r="I107" s="89"/>
      <c r="J107" s="47"/>
      <c r="K107" s="2"/>
      <c r="L107" s="111"/>
      <c r="M107" s="2" t="str">
        <f t="shared" si="1"/>
        <v/>
      </c>
    </row>
    <row r="108" spans="1:13" ht="18" customHeight="1" x14ac:dyDescent="0.2">
      <c r="A108" s="44"/>
      <c r="B108" s="47"/>
      <c r="C108" s="47"/>
      <c r="D108" s="47"/>
      <c r="E108" s="53"/>
      <c r="F108" s="47"/>
      <c r="G108" s="91"/>
      <c r="H108" s="89"/>
      <c r="I108" s="89"/>
      <c r="J108" s="47"/>
      <c r="K108" s="2"/>
      <c r="L108" s="111"/>
      <c r="M108" s="2" t="str">
        <f t="shared" si="1"/>
        <v/>
      </c>
    </row>
    <row r="109" spans="1:13" ht="18" customHeight="1" x14ac:dyDescent="0.2">
      <c r="A109" s="44"/>
      <c r="B109" s="47"/>
      <c r="C109" s="47"/>
      <c r="D109" s="47"/>
      <c r="E109" s="53"/>
      <c r="F109" s="47"/>
      <c r="G109" s="91"/>
      <c r="H109" s="89"/>
      <c r="I109" s="89"/>
      <c r="J109" s="47"/>
      <c r="K109" s="2"/>
      <c r="L109" s="111"/>
      <c r="M109" s="2" t="str">
        <f t="shared" si="1"/>
        <v/>
      </c>
    </row>
    <row r="110" spans="1:13" ht="18" customHeight="1" x14ac:dyDescent="0.2">
      <c r="A110" s="105"/>
      <c r="B110" s="106"/>
      <c r="C110" s="106"/>
      <c r="D110" s="106"/>
      <c r="E110" s="107"/>
      <c r="F110" s="106"/>
      <c r="G110" s="108"/>
      <c r="H110" s="109"/>
      <c r="I110" s="109"/>
      <c r="J110" s="106"/>
      <c r="K110" s="110"/>
      <c r="L110" s="112"/>
      <c r="M110" s="2" t="str">
        <f t="shared" si="1"/>
        <v/>
      </c>
    </row>
  </sheetData>
  <mergeCells count="3">
    <mergeCell ref="C2:D2"/>
    <mergeCell ref="A1:C1"/>
    <mergeCell ref="D1:H1"/>
  </mergeCells>
  <conditionalFormatting sqref="A3:A110">
    <cfRule type="cellIs" dxfId="1" priority="5" stopIfTrue="1" operator="equal">
      <formula>"AXN"</formula>
    </cfRule>
  </conditionalFormatting>
  <dataValidations count="2">
    <dataValidation type="list" allowBlank="1" showErrorMessage="1" sqref="A3:A110" xr:uid="{00000000-0002-0000-0100-000000000000}">
      <formula1>"AXN"</formula1>
    </dataValidation>
    <dataValidation type="list" allowBlank="1" showErrorMessage="1" sqref="K3:K110" xr:uid="{00000000-0002-0000-0100-000001000000}">
      <formula1>"ENG FM,ENG SPLITS,BM FM,BI FM,VIET FM,SOT ONLY"</formula1>
    </dataValidation>
  </dataValidations>
  <pageMargins left="0.70866141732283505" right="0.70866141732283505" top="0.74803149606299202" bottom="0.74803149606299202" header="0" footer="0"/>
  <pageSetup paperSize="9" scale="53" orientation="landscape"/>
  <headerFooter>
    <oddFooter>&amp;C&amp;"Calibri,Regular"&amp;K00000010 Changi Business Park Central 2, #03-08 Hansapoint @CBP, Singapore 486030</oddFooter>
  </headerFooter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24B36B-837C-CE4C-858B-D5B7DE10C9EB}">
          <x14:formula1>
            <xm:f>'#'!$A$1:$A$29</xm:f>
          </x14:formula1>
          <xm:sqref>L3:L110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E09CF-D6DB-0447-A26B-19AD02475330}">
  <sheetPr codeName="Sheet3">
    <outlinePr summaryBelow="0" summaryRight="0"/>
    <pageSetUpPr fitToPage="1"/>
  </sheetPr>
  <dimension ref="A1:M25"/>
  <sheetViews>
    <sheetView showZeros="0" zoomScale="110" zoomScaleNormal="110" workbookViewId="0">
      <pane ySplit="1" topLeftCell="A2" activePane="bottomLeft" state="frozen"/>
      <selection activeCell="H24" sqref="H24"/>
      <selection pane="bottomLeft" activeCell="F13" sqref="F13"/>
    </sheetView>
  </sheetViews>
  <sheetFormatPr baseColWidth="10" defaultColWidth="14.5" defaultRowHeight="15" customHeight="1" x14ac:dyDescent="0.2"/>
  <cols>
    <col min="1" max="1" width="9.1640625" customWidth="1"/>
    <col min="2" max="4" width="6" style="43" customWidth="1"/>
    <col min="5" max="5" width="6" style="51" customWidth="1"/>
    <col min="6" max="10" width="6" customWidth="1"/>
    <col min="13" max="13" width="8.83203125" customWidth="1"/>
  </cols>
  <sheetData>
    <row r="1" spans="1:13" ht="24.75" customHeight="1" x14ac:dyDescent="0.2">
      <c r="A1" s="121" t="s">
        <v>109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3" x14ac:dyDescent="0.2">
      <c r="A2" s="3" t="s">
        <v>122</v>
      </c>
      <c r="B2" s="44"/>
      <c r="C2" s="45"/>
      <c r="D2" s="45"/>
      <c r="E2" s="49"/>
      <c r="F2" s="46"/>
      <c r="G2" s="3"/>
      <c r="H2" s="92"/>
      <c r="I2" s="92"/>
      <c r="J2" s="46"/>
      <c r="K2" s="3" t="s">
        <v>123</v>
      </c>
      <c r="L2" s="2" t="s">
        <v>124</v>
      </c>
      <c r="M2" s="123" t="s">
        <v>198</v>
      </c>
    </row>
    <row r="3" spans="1:13" x14ac:dyDescent="0.2">
      <c r="A3" s="3" t="s">
        <v>122</v>
      </c>
      <c r="B3" s="46"/>
      <c r="C3" s="47"/>
      <c r="D3" s="47"/>
      <c r="E3" s="50"/>
      <c r="F3" s="46"/>
      <c r="G3" s="2"/>
      <c r="H3" s="93"/>
      <c r="I3" s="92"/>
      <c r="J3" s="46"/>
      <c r="K3" s="3" t="s">
        <v>123</v>
      </c>
      <c r="L3" s="2" t="s">
        <v>124</v>
      </c>
      <c r="M3" s="124"/>
    </row>
    <row r="4" spans="1:13" x14ac:dyDescent="0.2">
      <c r="A4" s="3" t="s">
        <v>122</v>
      </c>
      <c r="B4" s="44"/>
      <c r="C4" s="45"/>
      <c r="D4" s="45"/>
      <c r="E4" s="49"/>
      <c r="F4" s="46"/>
      <c r="G4" s="3"/>
      <c r="H4" s="92"/>
      <c r="I4" s="92"/>
      <c r="J4" s="46"/>
      <c r="K4" s="3" t="s">
        <v>125</v>
      </c>
      <c r="L4" s="2" t="s">
        <v>124</v>
      </c>
      <c r="M4" s="124"/>
    </row>
    <row r="5" spans="1:13" x14ac:dyDescent="0.2">
      <c r="A5" s="3" t="s">
        <v>122</v>
      </c>
      <c r="B5" s="46"/>
      <c r="C5" s="47"/>
      <c r="D5" s="47"/>
      <c r="E5" s="50"/>
      <c r="F5" s="46"/>
      <c r="G5" s="2"/>
      <c r="H5" s="93"/>
      <c r="I5" s="92"/>
      <c r="J5" s="46"/>
      <c r="K5" s="3" t="s">
        <v>125</v>
      </c>
      <c r="L5" s="2" t="s">
        <v>124</v>
      </c>
      <c r="M5" s="124"/>
    </row>
    <row r="6" spans="1:13" x14ac:dyDescent="0.2">
      <c r="A6" s="3" t="s">
        <v>122</v>
      </c>
      <c r="B6" s="44"/>
      <c r="C6" s="45"/>
      <c r="D6" s="45"/>
      <c r="E6" s="49"/>
      <c r="F6" s="46"/>
      <c r="G6" s="3"/>
      <c r="H6" s="92"/>
      <c r="I6" s="92"/>
      <c r="J6" s="46"/>
      <c r="K6" s="3" t="s">
        <v>126</v>
      </c>
      <c r="L6" s="2" t="s">
        <v>124</v>
      </c>
      <c r="M6" s="124"/>
    </row>
    <row r="7" spans="1:13" x14ac:dyDescent="0.2">
      <c r="A7" s="3" t="s">
        <v>122</v>
      </c>
      <c r="B7" s="46"/>
      <c r="C7" s="47"/>
      <c r="D7" s="47"/>
      <c r="E7" s="50"/>
      <c r="F7" s="46"/>
      <c r="G7" s="2"/>
      <c r="H7" s="93"/>
      <c r="I7" s="92"/>
      <c r="J7" s="46"/>
      <c r="K7" s="3" t="s">
        <v>126</v>
      </c>
      <c r="L7" s="2" t="s">
        <v>124</v>
      </c>
      <c r="M7" s="124"/>
    </row>
    <row r="8" spans="1:13" x14ac:dyDescent="0.2">
      <c r="A8" s="3" t="s">
        <v>122</v>
      </c>
      <c r="B8" s="44"/>
      <c r="C8" s="45"/>
      <c r="D8" s="45"/>
      <c r="E8" s="49"/>
      <c r="F8" s="46"/>
      <c r="G8" s="3"/>
      <c r="H8" s="92"/>
      <c r="I8" s="92"/>
      <c r="J8" s="46"/>
      <c r="K8" s="3" t="s">
        <v>127</v>
      </c>
      <c r="L8" s="2" t="s">
        <v>124</v>
      </c>
      <c r="M8" s="124"/>
    </row>
    <row r="9" spans="1:13" x14ac:dyDescent="0.2">
      <c r="A9" s="3" t="s">
        <v>122</v>
      </c>
      <c r="B9" s="46"/>
      <c r="C9" s="47"/>
      <c r="D9" s="47"/>
      <c r="E9" s="50"/>
      <c r="F9" s="46"/>
      <c r="G9" s="2"/>
      <c r="H9" s="93"/>
      <c r="I9" s="92"/>
      <c r="J9" s="46"/>
      <c r="K9" s="3" t="s">
        <v>127</v>
      </c>
      <c r="L9" s="2" t="s">
        <v>124</v>
      </c>
      <c r="M9" s="124"/>
    </row>
    <row r="10" spans="1:13" x14ac:dyDescent="0.2">
      <c r="A10" s="3" t="s">
        <v>122</v>
      </c>
      <c r="B10" s="44"/>
      <c r="C10" s="45"/>
      <c r="D10" s="45"/>
      <c r="E10" s="49"/>
      <c r="F10" s="46"/>
      <c r="G10" s="3"/>
      <c r="H10" s="92"/>
      <c r="I10" s="92"/>
      <c r="J10" s="46"/>
      <c r="K10" s="3" t="s">
        <v>128</v>
      </c>
      <c r="L10" s="2" t="s">
        <v>124</v>
      </c>
      <c r="M10" s="124"/>
    </row>
    <row r="11" spans="1:13" x14ac:dyDescent="0.2">
      <c r="A11" s="3" t="s">
        <v>122</v>
      </c>
      <c r="B11" s="46"/>
      <c r="C11" s="47"/>
      <c r="D11" s="47"/>
      <c r="E11" s="49"/>
      <c r="F11" s="46"/>
      <c r="G11" s="2"/>
      <c r="H11" s="93"/>
      <c r="I11" s="92"/>
      <c r="J11" s="46"/>
      <c r="K11" s="3" t="s">
        <v>128</v>
      </c>
      <c r="L11" s="2" t="s">
        <v>124</v>
      </c>
      <c r="M11" s="124"/>
    </row>
    <row r="12" spans="1:13" x14ac:dyDescent="0.2">
      <c r="A12" s="3" t="s">
        <v>122</v>
      </c>
      <c r="B12" s="44"/>
      <c r="C12" s="45"/>
      <c r="D12" s="45"/>
      <c r="E12" s="49"/>
      <c r="F12" s="46"/>
      <c r="G12" s="3"/>
      <c r="H12" s="92"/>
      <c r="I12" s="92"/>
      <c r="J12" s="46"/>
      <c r="K12" s="3" t="s">
        <v>123</v>
      </c>
      <c r="L12" s="2" t="s">
        <v>129</v>
      </c>
      <c r="M12" s="124"/>
    </row>
    <row r="13" spans="1:13" x14ac:dyDescent="0.2">
      <c r="A13" s="3" t="s">
        <v>122</v>
      </c>
      <c r="B13" s="46"/>
      <c r="C13" s="47"/>
      <c r="D13" s="47"/>
      <c r="E13" s="50"/>
      <c r="F13" s="46"/>
      <c r="G13" s="2"/>
      <c r="H13" s="93"/>
      <c r="I13" s="92"/>
      <c r="J13" s="46"/>
      <c r="K13" s="3" t="s">
        <v>123</v>
      </c>
      <c r="L13" s="2" t="s">
        <v>129</v>
      </c>
      <c r="M13" s="124"/>
    </row>
    <row r="14" spans="1:13" x14ac:dyDescent="0.2">
      <c r="A14" s="3" t="s">
        <v>122</v>
      </c>
      <c r="B14" s="44"/>
      <c r="C14" s="45"/>
      <c r="D14" s="45"/>
      <c r="E14" s="49"/>
      <c r="F14" s="46"/>
      <c r="G14" s="3"/>
      <c r="H14" s="92"/>
      <c r="I14" s="92"/>
      <c r="J14" s="46"/>
      <c r="K14" s="3" t="s">
        <v>123</v>
      </c>
      <c r="L14" s="2" t="s">
        <v>124</v>
      </c>
      <c r="M14" s="125" t="s">
        <v>199</v>
      </c>
    </row>
    <row r="15" spans="1:13" x14ac:dyDescent="0.2">
      <c r="A15" s="3" t="s">
        <v>122</v>
      </c>
      <c r="B15" s="44"/>
      <c r="C15" s="45"/>
      <c r="D15" s="45"/>
      <c r="E15" s="49"/>
      <c r="F15" s="46"/>
      <c r="G15" s="3"/>
      <c r="H15" s="92"/>
      <c r="I15" s="92"/>
      <c r="J15" s="46"/>
      <c r="K15" s="3" t="s">
        <v>125</v>
      </c>
      <c r="L15" s="2" t="s">
        <v>124</v>
      </c>
      <c r="M15" s="125"/>
    </row>
    <row r="16" spans="1:13" x14ac:dyDescent="0.2">
      <c r="A16" s="3" t="s">
        <v>122</v>
      </c>
      <c r="B16" s="44"/>
      <c r="C16" s="45"/>
      <c r="D16" s="45"/>
      <c r="E16" s="49"/>
      <c r="F16" s="46"/>
      <c r="G16" s="3"/>
      <c r="H16" s="92"/>
      <c r="I16" s="92"/>
      <c r="J16" s="46"/>
      <c r="K16" s="3" t="s">
        <v>126</v>
      </c>
      <c r="L16" s="2" t="s">
        <v>124</v>
      </c>
      <c r="M16" s="125"/>
    </row>
    <row r="17" spans="1:13" x14ac:dyDescent="0.2">
      <c r="A17" s="3" t="s">
        <v>122</v>
      </c>
      <c r="B17" s="44"/>
      <c r="C17" s="45"/>
      <c r="D17" s="45"/>
      <c r="E17" s="49"/>
      <c r="F17" s="46"/>
      <c r="G17" s="3"/>
      <c r="H17" s="92"/>
      <c r="I17" s="92"/>
      <c r="J17" s="46"/>
      <c r="K17" s="3" t="s">
        <v>127</v>
      </c>
      <c r="L17" s="2" t="s">
        <v>124</v>
      </c>
      <c r="M17" s="125"/>
    </row>
    <row r="18" spans="1:13" x14ac:dyDescent="0.2">
      <c r="A18" s="3" t="s">
        <v>122</v>
      </c>
      <c r="B18" s="44"/>
      <c r="C18" s="45"/>
      <c r="D18" s="45"/>
      <c r="E18" s="49"/>
      <c r="F18" s="46"/>
      <c r="G18" s="3"/>
      <c r="H18" s="92"/>
      <c r="I18" s="92"/>
      <c r="J18" s="46"/>
      <c r="K18" s="3" t="s">
        <v>128</v>
      </c>
      <c r="L18" s="2" t="s">
        <v>124</v>
      </c>
      <c r="M18" s="125"/>
    </row>
    <row r="19" spans="1:13" x14ac:dyDescent="0.2">
      <c r="A19" s="3" t="s">
        <v>122</v>
      </c>
      <c r="B19" s="44"/>
      <c r="C19" s="45"/>
      <c r="D19" s="45"/>
      <c r="E19" s="49"/>
      <c r="F19" s="46"/>
      <c r="G19" s="3"/>
      <c r="H19" s="92"/>
      <c r="I19" s="92"/>
      <c r="J19" s="46"/>
      <c r="K19" s="3" t="s">
        <v>123</v>
      </c>
      <c r="L19" s="2" t="s">
        <v>129</v>
      </c>
      <c r="M19" s="125"/>
    </row>
    <row r="25" spans="1:13" ht="15" customHeight="1" x14ac:dyDescent="0.2">
      <c r="K25" s="98"/>
    </row>
  </sheetData>
  <sheetProtection algorithmName="SHA-512" hashValue="i9Twb5P6/peAzPDIKe7IPj9km7KB9SCakYlZGEL3R6OD3vbmg1GMC+jPwl0d/wMgKWDlRu9454Mfft4tR9QlnA==" saltValue="BS3tu/Kkm8UiN6Ra9IW/ng==" spinCount="100000" sheet="1" objects="1" scenarios="1"/>
  <mergeCells count="3">
    <mergeCell ref="A1:L1"/>
    <mergeCell ref="M2:M13"/>
    <mergeCell ref="M14:M19"/>
  </mergeCells>
  <conditionalFormatting sqref="A1:A19">
    <cfRule type="cellIs" dxfId="0" priority="1" operator="equal">
      <formula>"AXN"</formula>
    </cfRule>
  </conditionalFormatting>
  <dataValidations count="2">
    <dataValidation type="list" allowBlank="1" showErrorMessage="1" sqref="K2:K19" xr:uid="{D0C0AD57-F9C2-E444-B2FF-8CC949A72208}">
      <formula1>"ENG FM,ENG SPLITS,BM FM,BI FM,VIET FM,SOT ONLY"</formula1>
    </dataValidation>
    <dataValidation type="list" allowBlank="1" showErrorMessage="1" sqref="A2:A19" xr:uid="{8DA653C9-A2E8-2344-8F14-F385E86D70F1}">
      <formula1>"AXN"</formula1>
    </dataValidation>
  </dataValidations>
  <pageMargins left="0.70866141732283505" right="0.70866141732283505" top="0.74803149606299202" bottom="0.74803149606299202" header="0" footer="0"/>
  <pageSetup paperSize="9" scale="95" orientation="landscape" horizontalDpi="0" verticalDpi="0"/>
  <headerFooter>
    <oddFooter>&amp;C&amp;"Calibri,Regular"&amp;K00000010 Changi Business Park Central 2, #03-08 Hansapoint @CBP, Singapore 486030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258A05-F1AE-5849-BC07-014E4FF7F76C}">
          <x14:formula1>
            <xm:f>'#'!$A$1:$A$29</xm:f>
          </x14:formula1>
          <xm:sqref>L2:L19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29"/>
  <sheetViews>
    <sheetView zoomScale="90" zoomScaleNormal="90" workbookViewId="0">
      <selection activeCell="B8" sqref="B8"/>
    </sheetView>
  </sheetViews>
  <sheetFormatPr baseColWidth="10" defaultColWidth="14.5" defaultRowHeight="15" customHeight="1" x14ac:dyDescent="0.2"/>
  <cols>
    <col min="1" max="1" width="16.1640625" style="34" customWidth="1"/>
  </cols>
  <sheetData>
    <row r="1" spans="1:1" ht="16" x14ac:dyDescent="0.2">
      <c r="A1" s="31" t="s">
        <v>124</v>
      </c>
    </row>
    <row r="2" spans="1:1" ht="16" x14ac:dyDescent="0.2">
      <c r="A2" s="31" t="s">
        <v>130</v>
      </c>
    </row>
    <row r="3" spans="1:1" ht="16" x14ac:dyDescent="0.2">
      <c r="A3" s="31" t="s">
        <v>131</v>
      </c>
    </row>
    <row r="4" spans="1:1" ht="16" x14ac:dyDescent="0.2">
      <c r="A4" s="33" t="s">
        <v>132</v>
      </c>
    </row>
    <row r="5" spans="1:1" ht="16" x14ac:dyDescent="0.2">
      <c r="A5" s="31" t="s">
        <v>133</v>
      </c>
    </row>
    <row r="6" spans="1:1" ht="16" x14ac:dyDescent="0.2">
      <c r="A6" s="31" t="s">
        <v>134</v>
      </c>
    </row>
    <row r="7" spans="1:1" ht="16" x14ac:dyDescent="0.2">
      <c r="A7" s="31" t="s">
        <v>135</v>
      </c>
    </row>
    <row r="8" spans="1:1" ht="16" x14ac:dyDescent="0.2">
      <c r="A8" s="31" t="s">
        <v>136</v>
      </c>
    </row>
    <row r="9" spans="1:1" ht="16" x14ac:dyDescent="0.2">
      <c r="A9" s="31" t="s">
        <v>137</v>
      </c>
    </row>
    <row r="10" spans="1:1" ht="16" x14ac:dyDescent="0.2">
      <c r="A10" s="31" t="s">
        <v>138</v>
      </c>
    </row>
    <row r="11" spans="1:1" ht="16" x14ac:dyDescent="0.2">
      <c r="A11" s="47" t="s">
        <v>207</v>
      </c>
    </row>
    <row r="12" spans="1:1" ht="16" x14ac:dyDescent="0.2">
      <c r="A12" s="31" t="s">
        <v>129</v>
      </c>
    </row>
    <row r="13" spans="1:1" ht="16" x14ac:dyDescent="0.2">
      <c r="A13" s="31" t="s">
        <v>139</v>
      </c>
    </row>
    <row r="14" spans="1:1" ht="16" x14ac:dyDescent="0.2">
      <c r="A14" s="31" t="s">
        <v>140</v>
      </c>
    </row>
    <row r="15" spans="1:1" ht="16" x14ac:dyDescent="0.2">
      <c r="A15" s="31" t="s">
        <v>141</v>
      </c>
    </row>
    <row r="16" spans="1:1" ht="16" x14ac:dyDescent="0.2">
      <c r="A16" s="31" t="s">
        <v>142</v>
      </c>
    </row>
    <row r="17" spans="1:1" ht="16" x14ac:dyDescent="0.2">
      <c r="A17" s="31" t="s">
        <v>143</v>
      </c>
    </row>
    <row r="18" spans="1:1" ht="16" x14ac:dyDescent="0.2">
      <c r="A18" s="31" t="s">
        <v>144</v>
      </c>
    </row>
    <row r="19" spans="1:1" ht="15" customHeight="1" x14ac:dyDescent="0.2">
      <c r="A19" s="31" t="s">
        <v>145</v>
      </c>
    </row>
    <row r="20" spans="1:1" ht="15" customHeight="1" x14ac:dyDescent="0.2">
      <c r="A20" s="31" t="s">
        <v>146</v>
      </c>
    </row>
    <row r="21" spans="1:1" ht="15" customHeight="1" x14ac:dyDescent="0.2">
      <c r="A21" s="31" t="s">
        <v>147</v>
      </c>
    </row>
    <row r="22" spans="1:1" ht="15" customHeight="1" x14ac:dyDescent="0.2">
      <c r="A22" s="31" t="s">
        <v>148</v>
      </c>
    </row>
    <row r="23" spans="1:1" ht="15" customHeight="1" x14ac:dyDescent="0.2">
      <c r="A23" s="31" t="s">
        <v>149</v>
      </c>
    </row>
    <row r="24" spans="1:1" ht="15" customHeight="1" x14ac:dyDescent="0.2">
      <c r="A24" s="31" t="s">
        <v>150</v>
      </c>
    </row>
    <row r="25" spans="1:1" ht="15" customHeight="1" x14ac:dyDescent="0.2">
      <c r="A25" s="31" t="s">
        <v>151</v>
      </c>
    </row>
    <row r="26" spans="1:1" ht="15" customHeight="1" x14ac:dyDescent="0.2">
      <c r="A26" s="31" t="s">
        <v>152</v>
      </c>
    </row>
    <row r="27" spans="1:1" ht="15" customHeight="1" x14ac:dyDescent="0.2">
      <c r="A27" s="34" t="s">
        <v>153</v>
      </c>
    </row>
    <row r="28" spans="1:1" ht="15" customHeight="1" x14ac:dyDescent="0.2">
      <c r="A28" s="35" t="s">
        <v>154</v>
      </c>
    </row>
    <row r="29" spans="1:1" ht="15" customHeight="1" x14ac:dyDescent="0.2">
      <c r="A29" s="34" t="s">
        <v>155</v>
      </c>
    </row>
  </sheetData>
  <dataValidations count="1">
    <dataValidation type="list" allowBlank="1" showErrorMessage="1" sqref="J1:J18" xr:uid="{00000000-0002-0000-0200-000001000000}">
      <formula1>"ENG FM,ENG SPLITS,BM FM,BI FM,VIET FM,SOT ONLY"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157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213</v>
      </c>
      <c r="B3" s="122"/>
      <c r="C3" s="122"/>
      <c r="D3" s="122"/>
      <c r="E3" s="122"/>
      <c r="F3" s="122"/>
      <c r="G3" s="4"/>
      <c r="H3" s="4"/>
      <c r="I3" s="5"/>
      <c r="J3" s="8"/>
      <c r="K3" s="129" t="s">
        <v>158</v>
      </c>
      <c r="L3" s="122"/>
    </row>
    <row r="4" spans="1:12" ht="20" x14ac:dyDescent="0.25">
      <c r="A4" s="130" t="s">
        <v>75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47"/>
      <c r="H7" s="139"/>
      <c r="I7" s="139"/>
      <c r="J7" s="139"/>
      <c r="K7" s="139"/>
      <c r="L7" s="140"/>
    </row>
    <row r="8" spans="1:12" ht="18" customHeight="1" x14ac:dyDescent="0.2">
      <c r="A8" s="150" t="s">
        <v>159</v>
      </c>
      <c r="B8" s="133"/>
      <c r="C8" s="133"/>
      <c r="D8" s="133"/>
      <c r="E8" s="133"/>
      <c r="F8" s="134"/>
      <c r="G8" s="148"/>
      <c r="H8" s="133"/>
      <c r="I8" s="133"/>
      <c r="J8" s="133"/>
      <c r="K8" s="133"/>
      <c r="L8" s="134"/>
    </row>
    <row r="9" spans="1:12" ht="18" customHeight="1" x14ac:dyDescent="0.2">
      <c r="A9" s="132" t="s">
        <v>160</v>
      </c>
      <c r="B9" s="133"/>
      <c r="C9" s="133"/>
      <c r="D9" s="133"/>
      <c r="E9" s="133"/>
      <c r="F9" s="134"/>
      <c r="G9" s="148"/>
      <c r="H9" s="133"/>
      <c r="I9" s="133"/>
      <c r="J9" s="133"/>
      <c r="K9" s="133"/>
      <c r="L9" s="134"/>
    </row>
    <row r="10" spans="1:12" ht="18" customHeight="1" x14ac:dyDescent="0.2">
      <c r="A10" s="132" t="s">
        <v>161</v>
      </c>
      <c r="B10" s="133"/>
      <c r="C10" s="133"/>
      <c r="D10" s="133"/>
      <c r="E10" s="133"/>
      <c r="F10" s="134"/>
      <c r="G10" s="149"/>
      <c r="H10" s="133"/>
      <c r="I10" s="133"/>
      <c r="J10" s="133"/>
      <c r="K10" s="133"/>
      <c r="L10" s="134"/>
    </row>
    <row r="11" spans="1:12" ht="18" customHeight="1" x14ac:dyDescent="0.2">
      <c r="A11" s="135"/>
      <c r="B11" s="136"/>
      <c r="C11" s="136"/>
      <c r="D11" s="136"/>
      <c r="E11" s="136"/>
      <c r="F11" s="137"/>
      <c r="G11" s="146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84"/>
      <c r="B15" s="85"/>
      <c r="C15" s="85"/>
      <c r="D15" s="85"/>
      <c r="E15" s="85"/>
      <c r="F15" s="86"/>
      <c r="G15" s="149"/>
      <c r="H15" s="133"/>
      <c r="I15" s="133"/>
      <c r="J15" s="133"/>
      <c r="K15" s="133"/>
      <c r="L15" s="134"/>
    </row>
    <row r="16" spans="1:12" ht="18" customHeight="1" x14ac:dyDescent="0.2">
      <c r="A16" s="17"/>
      <c r="B16" s="87"/>
      <c r="C16" s="87"/>
      <c r="D16" s="87"/>
      <c r="E16" s="87"/>
      <c r="F16" s="18"/>
      <c r="G16" s="146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SPLITS01B")+('TITLE LIST'!M:M="ASOT ONLY01B")),"")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6">
    <mergeCell ref="G10:L10"/>
    <mergeCell ref="G7:L7"/>
    <mergeCell ref="A8:F8"/>
    <mergeCell ref="G8:L8"/>
    <mergeCell ref="A9:F9"/>
    <mergeCell ref="G9:L9"/>
    <mergeCell ref="A13:F13"/>
    <mergeCell ref="A14:F14"/>
    <mergeCell ref="D18:E18"/>
    <mergeCell ref="G11:L11"/>
    <mergeCell ref="G12:L12"/>
    <mergeCell ref="G13:L13"/>
    <mergeCell ref="G14:L14"/>
    <mergeCell ref="G15:L15"/>
    <mergeCell ref="G16:L16"/>
    <mergeCell ref="A5:D5"/>
    <mergeCell ref="A10:F10"/>
    <mergeCell ref="A11:F11"/>
    <mergeCell ref="A12:F12"/>
    <mergeCell ref="A7:F7"/>
    <mergeCell ref="A6:C6"/>
    <mergeCell ref="A1:L1"/>
    <mergeCell ref="A2:D2"/>
    <mergeCell ref="A3:F3"/>
    <mergeCell ref="K3:L4"/>
    <mergeCell ref="A4:C4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157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214</v>
      </c>
      <c r="B3" s="122"/>
      <c r="C3" s="122"/>
      <c r="D3" s="122"/>
      <c r="E3" s="122"/>
      <c r="F3" s="122"/>
      <c r="G3" s="4"/>
      <c r="H3" s="4"/>
      <c r="I3" s="5"/>
      <c r="J3" s="8"/>
      <c r="K3" s="129" t="s">
        <v>158</v>
      </c>
      <c r="L3" s="122"/>
    </row>
    <row r="4" spans="1:12" ht="20" x14ac:dyDescent="0.25">
      <c r="A4" s="130" t="s">
        <v>75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1"/>
      <c r="H7" s="139"/>
      <c r="I7" s="139"/>
      <c r="J7" s="139"/>
      <c r="K7" s="139"/>
      <c r="L7" s="140"/>
    </row>
    <row r="8" spans="1:12" ht="18" customHeight="1" x14ac:dyDescent="0.2">
      <c r="A8" s="30" t="s">
        <v>160</v>
      </c>
      <c r="B8" s="85"/>
      <c r="C8" s="85"/>
      <c r="D8" s="85"/>
      <c r="E8" s="85"/>
      <c r="F8" s="86"/>
      <c r="G8" s="152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2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35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84"/>
      <c r="B15" s="85"/>
      <c r="C15" s="85"/>
      <c r="D15" s="85"/>
      <c r="E15" s="85"/>
      <c r="F15" s="86"/>
      <c r="G15" s="152"/>
      <c r="H15" s="133"/>
      <c r="I15" s="133"/>
      <c r="J15" s="133"/>
      <c r="K15" s="133"/>
      <c r="L15" s="134"/>
    </row>
    <row r="16" spans="1:12" ht="18" customHeight="1" x14ac:dyDescent="0.2">
      <c r="A16" s="17"/>
      <c r="B16" s="87"/>
      <c r="C16" s="87"/>
      <c r="D16" s="87"/>
      <c r="E16" s="87"/>
      <c r="F16" s="18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SPLITS01C")+('TITLE LIST'!M:M="ASOT ONLY01C")),"")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5">
    <mergeCell ref="G15:L15"/>
    <mergeCell ref="G16:L16"/>
    <mergeCell ref="D18:E18"/>
    <mergeCell ref="A11:F11"/>
    <mergeCell ref="G11:L11"/>
    <mergeCell ref="A12:F12"/>
    <mergeCell ref="G12:L12"/>
    <mergeCell ref="A13:F13"/>
    <mergeCell ref="G13:L13"/>
    <mergeCell ref="A14:F14"/>
    <mergeCell ref="A9:F9"/>
    <mergeCell ref="G9:L9"/>
    <mergeCell ref="A10:F10"/>
    <mergeCell ref="G10:L10"/>
    <mergeCell ref="G14:L14"/>
    <mergeCell ref="A5:D5"/>
    <mergeCell ref="A7:F7"/>
    <mergeCell ref="G7:L7"/>
    <mergeCell ref="G8:L8"/>
    <mergeCell ref="A6:C6"/>
    <mergeCell ref="A1:L1"/>
    <mergeCell ref="A2:D2"/>
    <mergeCell ref="A3:F3"/>
    <mergeCell ref="K3:L4"/>
    <mergeCell ref="A4:C4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C000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">
      <c r="A1" s="154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157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215</v>
      </c>
      <c r="B3" s="122"/>
      <c r="C3" s="122"/>
      <c r="D3" s="122"/>
      <c r="E3" s="122"/>
      <c r="F3" s="4"/>
      <c r="G3" s="4"/>
      <c r="H3" s="4"/>
      <c r="I3" s="5"/>
      <c r="J3" s="8"/>
      <c r="K3" s="129" t="s">
        <v>158</v>
      </c>
      <c r="L3" s="122"/>
    </row>
    <row r="4" spans="1:12" ht="20" x14ac:dyDescent="0.25">
      <c r="A4" s="130" t="s">
        <v>25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39"/>
      <c r="G7" s="155"/>
      <c r="H7" s="139"/>
      <c r="I7" s="139"/>
      <c r="J7" s="139"/>
      <c r="K7" s="139"/>
      <c r="L7" s="140"/>
    </row>
    <row r="8" spans="1:12" ht="18" customHeight="1" x14ac:dyDescent="0.2">
      <c r="A8" s="30" t="s">
        <v>160</v>
      </c>
      <c r="B8" s="85"/>
      <c r="C8" s="85"/>
      <c r="D8" s="85"/>
      <c r="E8" s="85"/>
      <c r="F8" s="85"/>
      <c r="G8" s="156"/>
      <c r="H8" s="133"/>
      <c r="I8" s="133"/>
      <c r="J8" s="133"/>
      <c r="K8" s="133"/>
      <c r="L8" s="134"/>
    </row>
    <row r="9" spans="1:12" ht="18" customHeight="1" x14ac:dyDescent="0.2">
      <c r="A9" s="132" t="s">
        <v>161</v>
      </c>
      <c r="B9" s="133"/>
      <c r="C9" s="133"/>
      <c r="D9" s="133"/>
      <c r="E9" s="133"/>
      <c r="F9" s="133"/>
      <c r="G9" s="156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3"/>
      <c r="G10" s="156"/>
      <c r="H10" s="133"/>
      <c r="I10" s="133"/>
      <c r="J10" s="133"/>
      <c r="K10" s="133"/>
      <c r="L10" s="134"/>
    </row>
    <row r="11" spans="1:12" ht="18" customHeight="1" x14ac:dyDescent="0.2">
      <c r="A11" s="135"/>
      <c r="B11" s="136"/>
      <c r="C11" s="136"/>
      <c r="D11" s="136"/>
      <c r="E11" s="136"/>
      <c r="F11" s="136"/>
      <c r="G11" s="157"/>
      <c r="H11" s="136"/>
      <c r="I11" s="136"/>
      <c r="J11" s="136"/>
      <c r="K11" s="136"/>
      <c r="L11" s="137"/>
    </row>
    <row r="12" spans="1:12" ht="18" customHeight="1" x14ac:dyDescent="0.2">
      <c r="A12" s="155"/>
      <c r="B12" s="139"/>
      <c r="C12" s="139"/>
      <c r="D12" s="139"/>
      <c r="E12" s="139"/>
      <c r="F12" s="140"/>
      <c r="G12" s="155"/>
      <c r="H12" s="139"/>
      <c r="I12" s="139"/>
      <c r="J12" s="139"/>
      <c r="K12" s="139"/>
      <c r="L12" s="140"/>
    </row>
    <row r="13" spans="1:12" ht="18" customHeight="1" x14ac:dyDescent="0.2">
      <c r="A13" s="156"/>
      <c r="B13" s="133"/>
      <c r="C13" s="133"/>
      <c r="D13" s="133"/>
      <c r="E13" s="133"/>
      <c r="F13" s="134"/>
      <c r="G13" s="156"/>
      <c r="H13" s="133"/>
      <c r="I13" s="133"/>
      <c r="J13" s="133"/>
      <c r="K13" s="133"/>
      <c r="L13" s="134"/>
    </row>
    <row r="14" spans="1:12" ht="18" customHeight="1" x14ac:dyDescent="0.2">
      <c r="A14" s="156"/>
      <c r="B14" s="133"/>
      <c r="C14" s="133"/>
      <c r="D14" s="133"/>
      <c r="E14" s="133"/>
      <c r="F14" s="134"/>
      <c r="G14" s="156"/>
      <c r="H14" s="133"/>
      <c r="I14" s="133"/>
      <c r="J14" s="133"/>
      <c r="K14" s="133"/>
      <c r="L14" s="134"/>
    </row>
    <row r="15" spans="1:12" ht="18" customHeight="1" x14ac:dyDescent="0.2">
      <c r="A15" s="156"/>
      <c r="B15" s="133"/>
      <c r="C15" s="133"/>
      <c r="D15" s="133"/>
      <c r="E15" s="133"/>
      <c r="F15" s="134"/>
      <c r="G15" s="156"/>
      <c r="H15" s="133"/>
      <c r="I15" s="133"/>
      <c r="J15" s="133"/>
      <c r="K15" s="133"/>
      <c r="L15" s="134"/>
    </row>
    <row r="16" spans="1:12" ht="18" customHeight="1" x14ac:dyDescent="0.2">
      <c r="A16" s="157"/>
      <c r="B16" s="136"/>
      <c r="C16" s="136"/>
      <c r="D16" s="136"/>
      <c r="E16" s="136"/>
      <c r="F16" s="137"/>
      <c r="G16" s="157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SPLITS02B")+('TITLE LIST'!M:M="ASOT ONLY02B")),"")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5:F15"/>
    <mergeCell ref="A16:F16"/>
    <mergeCell ref="D18:E18"/>
    <mergeCell ref="G15:L15"/>
    <mergeCell ref="G16:L16"/>
    <mergeCell ref="A9:F9"/>
    <mergeCell ref="G9:L9"/>
    <mergeCell ref="A10:F10"/>
    <mergeCell ref="G10:L10"/>
    <mergeCell ref="A14:F14"/>
    <mergeCell ref="A11:F11"/>
    <mergeCell ref="G11:L11"/>
    <mergeCell ref="A12:F12"/>
    <mergeCell ref="G12:L12"/>
    <mergeCell ref="A13:F13"/>
    <mergeCell ref="G13:L13"/>
    <mergeCell ref="G14:L14"/>
    <mergeCell ref="A5:D5"/>
    <mergeCell ref="A7:F7"/>
    <mergeCell ref="G7:L7"/>
    <mergeCell ref="G8:L8"/>
    <mergeCell ref="A6:C6"/>
    <mergeCell ref="A1:L1"/>
    <mergeCell ref="A2:D2"/>
    <mergeCell ref="A3:E3"/>
    <mergeCell ref="K3:L4"/>
    <mergeCell ref="A4:C4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0000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157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216</v>
      </c>
      <c r="B3" s="122"/>
      <c r="C3" s="122"/>
      <c r="D3" s="122"/>
      <c r="E3" s="122"/>
      <c r="F3" s="122"/>
      <c r="G3" s="4"/>
      <c r="H3" s="4"/>
      <c r="I3" s="5"/>
      <c r="J3" s="8"/>
      <c r="K3" s="129" t="s">
        <v>158</v>
      </c>
      <c r="L3" s="122"/>
    </row>
    <row r="4" spans="1:12" ht="20" x14ac:dyDescent="0.25">
      <c r="A4" s="130" t="s">
        <v>25</v>
      </c>
      <c r="B4" s="122"/>
      <c r="C4" s="122"/>
      <c r="D4" s="9"/>
      <c r="E4" s="10"/>
      <c r="F4" s="11"/>
      <c r="G4" s="11"/>
      <c r="H4" s="11"/>
      <c r="I4" s="10"/>
      <c r="J4" s="12"/>
      <c r="K4" s="122"/>
      <c r="L4" s="12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50" t="s">
        <v>164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165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32" t="s">
        <v>161</v>
      </c>
      <c r="B10" s="133"/>
      <c r="C10" s="133"/>
      <c r="D10" s="133"/>
      <c r="E10" s="133"/>
      <c r="F10" s="134"/>
      <c r="G10" s="149"/>
      <c r="H10" s="133"/>
      <c r="I10" s="133"/>
      <c r="J10" s="133"/>
      <c r="K10" s="133"/>
      <c r="L10" s="134"/>
    </row>
    <row r="11" spans="1:12" ht="18" customHeight="1" x14ac:dyDescent="0.2">
      <c r="A11" s="135"/>
      <c r="B11" s="136"/>
      <c r="C11" s="136"/>
      <c r="D11" s="136"/>
      <c r="E11" s="136"/>
      <c r="F11" s="137"/>
      <c r="G11" s="146"/>
      <c r="H11" s="136"/>
      <c r="I11" s="136"/>
      <c r="J11" s="136"/>
      <c r="K11" s="136"/>
      <c r="L11" s="137"/>
    </row>
    <row r="12" spans="1:12" ht="18" customHeight="1" x14ac:dyDescent="0.2">
      <c r="A12" s="155"/>
      <c r="B12" s="139"/>
      <c r="C12" s="139"/>
      <c r="D12" s="139"/>
      <c r="E12" s="139"/>
      <c r="F12" s="140"/>
      <c r="G12" s="155"/>
      <c r="H12" s="139"/>
      <c r="I12" s="139"/>
      <c r="J12" s="139"/>
      <c r="K12" s="139"/>
      <c r="L12" s="140"/>
    </row>
    <row r="13" spans="1:12" ht="18" customHeight="1" x14ac:dyDescent="0.2">
      <c r="A13" s="156"/>
      <c r="B13" s="133"/>
      <c r="C13" s="133"/>
      <c r="D13" s="133"/>
      <c r="E13" s="133"/>
      <c r="F13" s="134"/>
      <c r="G13" s="156"/>
      <c r="H13" s="133"/>
      <c r="I13" s="133"/>
      <c r="J13" s="133"/>
      <c r="K13" s="133"/>
      <c r="L13" s="134"/>
    </row>
    <row r="14" spans="1:12" ht="18" customHeight="1" x14ac:dyDescent="0.2">
      <c r="A14" s="156"/>
      <c r="B14" s="133"/>
      <c r="C14" s="133"/>
      <c r="D14" s="133"/>
      <c r="E14" s="133"/>
      <c r="F14" s="134"/>
      <c r="G14" s="156"/>
      <c r="H14" s="133"/>
      <c r="I14" s="133"/>
      <c r="J14" s="133"/>
      <c r="K14" s="133"/>
      <c r="L14" s="134"/>
    </row>
    <row r="15" spans="1:12" ht="18" customHeight="1" x14ac:dyDescent="0.2">
      <c r="A15" s="156"/>
      <c r="B15" s="133"/>
      <c r="C15" s="133"/>
      <c r="D15" s="133"/>
      <c r="E15" s="133"/>
      <c r="F15" s="134"/>
      <c r="G15" s="156"/>
      <c r="H15" s="133"/>
      <c r="I15" s="133"/>
      <c r="J15" s="133"/>
      <c r="K15" s="133"/>
      <c r="L15" s="134"/>
    </row>
    <row r="16" spans="1:12" ht="18" customHeight="1" x14ac:dyDescent="0.2">
      <c r="A16" s="157"/>
      <c r="B16" s="136"/>
      <c r="C16" s="136"/>
      <c r="D16" s="136"/>
      <c r="E16" s="136"/>
      <c r="F16" s="137"/>
      <c r="G16" s="157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SPLITS03A")+('TITLE LIST'!M:M="ASOT ONLY03A")),"")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8">
    <mergeCell ref="G16:L16"/>
    <mergeCell ref="A7:F7"/>
    <mergeCell ref="G7:L7"/>
    <mergeCell ref="A8:F8"/>
    <mergeCell ref="G8:L8"/>
    <mergeCell ref="A9:F9"/>
    <mergeCell ref="G9:L9"/>
    <mergeCell ref="G10:L10"/>
    <mergeCell ref="G11:L11"/>
    <mergeCell ref="G12:L12"/>
    <mergeCell ref="G13:L13"/>
    <mergeCell ref="G14:L14"/>
    <mergeCell ref="G15:L15"/>
    <mergeCell ref="A13:F13"/>
    <mergeCell ref="A14:F14"/>
    <mergeCell ref="A15:F15"/>
    <mergeCell ref="A16:F16"/>
    <mergeCell ref="D18:E18"/>
    <mergeCell ref="A5:D5"/>
    <mergeCell ref="A10:F10"/>
    <mergeCell ref="A11:F11"/>
    <mergeCell ref="A12:F12"/>
    <mergeCell ref="A6:C6"/>
    <mergeCell ref="A1:L1"/>
    <mergeCell ref="A2:D2"/>
    <mergeCell ref="A3:F3"/>
    <mergeCell ref="K3:L4"/>
    <mergeCell ref="A4:C4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66CC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166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64" x14ac:dyDescent="0.7">
      <c r="A3" s="159" t="s">
        <v>217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20" x14ac:dyDescent="0.25">
      <c r="A4" s="130" t="s">
        <v>75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 x14ac:dyDescent="0.45">
      <c r="A5" s="131" t="s">
        <v>167</v>
      </c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1"/>
      <c r="H7" s="139"/>
      <c r="I7" s="139"/>
      <c r="J7" s="139"/>
      <c r="K7" s="139"/>
      <c r="L7" s="140"/>
    </row>
    <row r="8" spans="1:12" ht="18" customHeight="1" x14ac:dyDescent="0.2">
      <c r="A8" s="132" t="s">
        <v>168</v>
      </c>
      <c r="B8" s="133"/>
      <c r="C8" s="133"/>
      <c r="D8" s="133"/>
      <c r="E8" s="133"/>
      <c r="F8" s="134"/>
      <c r="G8" s="152"/>
      <c r="H8" s="133"/>
      <c r="I8" s="133"/>
      <c r="J8" s="133"/>
      <c r="K8" s="133"/>
      <c r="L8" s="134"/>
    </row>
    <row r="9" spans="1:12" ht="18" customHeight="1" x14ac:dyDescent="0.2">
      <c r="A9" s="132" t="s">
        <v>169</v>
      </c>
      <c r="B9" s="133"/>
      <c r="C9" s="133"/>
      <c r="D9" s="133"/>
      <c r="E9" s="133"/>
      <c r="F9" s="134"/>
      <c r="G9" s="152"/>
      <c r="H9" s="133"/>
      <c r="I9" s="133"/>
      <c r="J9" s="133"/>
      <c r="K9" s="133"/>
      <c r="L9" s="134"/>
    </row>
    <row r="10" spans="1:12" ht="18" customHeight="1" x14ac:dyDescent="0.2">
      <c r="A10" s="160" t="s">
        <v>170</v>
      </c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61"/>
      <c r="B11" s="133"/>
      <c r="C11" s="133"/>
      <c r="D11" s="133"/>
      <c r="E11" s="133"/>
      <c r="F11" s="134"/>
      <c r="G11" s="153"/>
      <c r="H11" s="136"/>
      <c r="I11" s="136"/>
      <c r="J11" s="136"/>
      <c r="K11" s="136"/>
      <c r="L11" s="137"/>
    </row>
    <row r="12" spans="1:12" ht="18" customHeight="1" x14ac:dyDescent="0.2">
      <c r="A12" s="151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52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52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LIST'!M:M="ABM FMALL")+('TITLE LIST'!M:M="ASOT ONLYALL")+('TITLE LIST'!M:M="AENG FM04A")+('TITLE LIST'!M:M="ABM FM04A")+('TITLE LIST'!M:M="ASOT ONLY04A")),"")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66CC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64" x14ac:dyDescent="0.7">
      <c r="A3" s="159" t="s">
        <v>218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20" x14ac:dyDescent="0.25">
      <c r="A4" s="130" t="s">
        <v>25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 x14ac:dyDescent="0.45">
      <c r="A5" s="131" t="s">
        <v>167</v>
      </c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1"/>
      <c r="H7" s="139"/>
      <c r="I7" s="139"/>
      <c r="J7" s="139"/>
      <c r="K7" s="139"/>
      <c r="L7" s="140"/>
    </row>
    <row r="8" spans="1:12" ht="18" customHeight="1" x14ac:dyDescent="0.2">
      <c r="A8" s="132" t="s">
        <v>168</v>
      </c>
      <c r="B8" s="133"/>
      <c r="C8" s="133"/>
      <c r="D8" s="133"/>
      <c r="E8" s="133"/>
      <c r="F8" s="134"/>
      <c r="G8" s="152"/>
      <c r="H8" s="133"/>
      <c r="I8" s="133"/>
      <c r="J8" s="133"/>
      <c r="K8" s="133"/>
      <c r="L8" s="134"/>
    </row>
    <row r="9" spans="1:12" ht="18" customHeight="1" x14ac:dyDescent="0.2">
      <c r="A9" s="132" t="s">
        <v>169</v>
      </c>
      <c r="B9" s="133"/>
      <c r="C9" s="133"/>
      <c r="D9" s="133"/>
      <c r="E9" s="133"/>
      <c r="F9" s="134"/>
      <c r="G9" s="152"/>
      <c r="H9" s="133"/>
      <c r="I9" s="133"/>
      <c r="J9" s="133"/>
      <c r="K9" s="133"/>
      <c r="L9" s="134"/>
    </row>
    <row r="10" spans="1:12" ht="18" customHeight="1" x14ac:dyDescent="0.2">
      <c r="A10" s="160" t="s">
        <v>170</v>
      </c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61"/>
      <c r="B11" s="133"/>
      <c r="C11" s="133"/>
      <c r="D11" s="133"/>
      <c r="E11" s="133"/>
      <c r="F11" s="134"/>
      <c r="G11" s="153"/>
      <c r="H11" s="136"/>
      <c r="I11" s="136"/>
      <c r="J11" s="136"/>
      <c r="K11" s="136"/>
      <c r="L11" s="137"/>
    </row>
    <row r="12" spans="1:12" ht="18" customHeight="1" x14ac:dyDescent="0.2">
      <c r="A12" s="151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52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52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LIST'!M:M="ABM FMALL")+('TITLE LIST'!M:M="ASOT ONLYALL")+('TITLE LIST'!M:M="AENG FM04B")+('TITLE LIST'!M:M="ABM FM04B")+('TITLE LIST'!M:M="ASOT ONLY04B")),"")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FF66CC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172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64" x14ac:dyDescent="0.7">
      <c r="A3" s="159" t="s">
        <v>219</v>
      </c>
      <c r="B3" s="122"/>
      <c r="C3" s="122"/>
      <c r="D3" s="122"/>
      <c r="E3" s="122"/>
      <c r="F3" s="122"/>
      <c r="G3" s="4"/>
      <c r="H3" s="4"/>
      <c r="I3" s="5"/>
      <c r="J3" s="8"/>
      <c r="K3" s="12"/>
      <c r="L3" s="13"/>
    </row>
    <row r="4" spans="1:12" ht="20" x14ac:dyDescent="0.25">
      <c r="A4" s="130" t="s">
        <v>75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 x14ac:dyDescent="0.45">
      <c r="A5" s="131" t="s">
        <v>173</v>
      </c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1"/>
      <c r="H7" s="139"/>
      <c r="I7" s="139"/>
      <c r="J7" s="139"/>
      <c r="K7" s="139"/>
      <c r="L7" s="140"/>
    </row>
    <row r="8" spans="1:12" ht="18" customHeight="1" x14ac:dyDescent="0.2">
      <c r="A8" s="132" t="s">
        <v>168</v>
      </c>
      <c r="B8" s="133"/>
      <c r="C8" s="133"/>
      <c r="D8" s="133"/>
      <c r="E8" s="133"/>
      <c r="F8" s="134"/>
      <c r="G8" s="152"/>
      <c r="H8" s="133"/>
      <c r="I8" s="133"/>
      <c r="J8" s="133"/>
      <c r="K8" s="133"/>
      <c r="L8" s="134"/>
    </row>
    <row r="9" spans="1:12" ht="18" customHeight="1" x14ac:dyDescent="0.2">
      <c r="A9" s="132" t="s">
        <v>174</v>
      </c>
      <c r="B9" s="133"/>
      <c r="C9" s="133"/>
      <c r="D9" s="133"/>
      <c r="E9" s="133"/>
      <c r="F9" s="134"/>
      <c r="G9" s="152"/>
      <c r="H9" s="133"/>
      <c r="I9" s="133"/>
      <c r="J9" s="133"/>
      <c r="K9" s="133"/>
      <c r="L9" s="134"/>
    </row>
    <row r="10" spans="1:12" ht="18" customHeight="1" x14ac:dyDescent="0.2">
      <c r="A10" s="160" t="s">
        <v>170</v>
      </c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61"/>
      <c r="B11" s="133"/>
      <c r="C11" s="133"/>
      <c r="D11" s="133"/>
      <c r="E11" s="133"/>
      <c r="F11" s="134"/>
      <c r="G11" s="153"/>
      <c r="H11" s="136"/>
      <c r="I11" s="136"/>
      <c r="J11" s="136"/>
      <c r="K11" s="136"/>
      <c r="L11" s="137"/>
    </row>
    <row r="12" spans="1:12" ht="18" customHeight="1" x14ac:dyDescent="0.2">
      <c r="A12" s="151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52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52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LIST'!M:M="ABM FMALL")+('TITLE LIST'!M:M="ASOT ONLYALL")+('TITLE LIST'!M:M="AENG FM04D")+('TITLE LIST'!M:M="ABM FM04D")+('TITLE LIST'!M:M="ASOT ONLY04D")),"")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66CC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220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25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62" t="s">
        <v>176</v>
      </c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FM04E")+('TITLE LIST'!M:M="ASOT ONLY04E")),"")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customHeight="1" x14ac:dyDescent="0.2">
      <c r="A2" s="163" t="s">
        <v>200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</row>
    <row r="3" spans="1:12" ht="52" x14ac:dyDescent="0.6">
      <c r="A3" s="128" t="s">
        <v>221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20" x14ac:dyDescent="0.25">
      <c r="A4" s="130" t="s">
        <v>75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64"/>
      <c r="H7" s="139"/>
      <c r="I7" s="139"/>
      <c r="J7" s="139"/>
      <c r="K7" s="139"/>
      <c r="L7" s="140"/>
    </row>
    <row r="8" spans="1:12" ht="18" customHeight="1" x14ac:dyDescent="0.2">
      <c r="A8" s="132" t="s">
        <v>177</v>
      </c>
      <c r="B8" s="133"/>
      <c r="C8" s="133"/>
      <c r="D8" s="133"/>
      <c r="E8" s="133"/>
      <c r="F8" s="134"/>
      <c r="G8" s="165"/>
      <c r="H8" s="133"/>
      <c r="I8" s="133"/>
      <c r="J8" s="133"/>
      <c r="K8" s="133"/>
      <c r="L8" s="134"/>
    </row>
    <row r="9" spans="1:12" ht="18" customHeight="1" x14ac:dyDescent="0.2">
      <c r="A9" s="132" t="s">
        <v>180</v>
      </c>
      <c r="B9" s="133"/>
      <c r="C9" s="133"/>
      <c r="D9" s="133"/>
      <c r="E9" s="133"/>
      <c r="F9" s="134"/>
      <c r="G9" s="166"/>
      <c r="H9" s="133"/>
      <c r="I9" s="133"/>
      <c r="J9" s="133"/>
      <c r="K9" s="133"/>
      <c r="L9" s="134"/>
    </row>
    <row r="10" spans="1:12" ht="18" customHeight="1" x14ac:dyDescent="0.2">
      <c r="A10" s="162" t="s">
        <v>178</v>
      </c>
      <c r="B10" s="133"/>
      <c r="C10" s="133"/>
      <c r="D10" s="133"/>
      <c r="E10" s="133"/>
      <c r="F10" s="134"/>
      <c r="G10" s="165"/>
      <c r="H10" s="133"/>
      <c r="I10" s="133"/>
      <c r="J10" s="133"/>
      <c r="K10" s="133"/>
      <c r="L10" s="134"/>
    </row>
    <row r="11" spans="1:12" ht="18" customHeight="1" thickBot="1" x14ac:dyDescent="0.25">
      <c r="A11" s="146"/>
      <c r="B11" s="136"/>
      <c r="C11" s="136"/>
      <c r="D11" s="136"/>
      <c r="E11" s="136"/>
      <c r="F11" s="137"/>
      <c r="G11" s="146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32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43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67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FM05B")+('TITLE LIST'!M:M="ASOT ONLY05B")),"")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14:F14"/>
    <mergeCell ref="A15:F15"/>
    <mergeCell ref="A16:F16"/>
    <mergeCell ref="D18:E18"/>
    <mergeCell ref="G12:L12"/>
    <mergeCell ref="G13:L13"/>
    <mergeCell ref="G14:L14"/>
    <mergeCell ref="G15:L15"/>
    <mergeCell ref="G16:L16"/>
    <mergeCell ref="A7:F7"/>
    <mergeCell ref="G7:L7"/>
    <mergeCell ref="A11:F11"/>
    <mergeCell ref="A12:F12"/>
    <mergeCell ref="A13:F13"/>
    <mergeCell ref="A8:F8"/>
    <mergeCell ref="G8:L8"/>
    <mergeCell ref="A9:F9"/>
    <mergeCell ref="G9:L9"/>
    <mergeCell ref="A10:F10"/>
    <mergeCell ref="G10:L10"/>
    <mergeCell ref="G11:L11"/>
    <mergeCell ref="A1:L1"/>
    <mergeCell ref="A3:E3"/>
    <mergeCell ref="A4:C4"/>
    <mergeCell ref="A5:D5"/>
    <mergeCell ref="A6:C6"/>
    <mergeCell ref="A2:L2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4B5D9-CD7C-4A85-BB72-700AC6AF9172}">
  <sheetPr codeName="Sheet35">
    <tabColor rgb="FF92D050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13.5" hidden="1" customWidth="1"/>
    <col min="15" max="18" width="13.5" customWidth="1"/>
    <col min="19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206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2" x14ac:dyDescent="0.6">
      <c r="A3" s="128" t="s">
        <v>222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20" x14ac:dyDescent="0.25">
      <c r="A4" s="130" t="s">
        <v>75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68" t="s">
        <v>25</v>
      </c>
      <c r="B7" s="169"/>
      <c r="C7" s="169"/>
      <c r="D7" s="169"/>
      <c r="E7" s="169"/>
      <c r="F7" s="170"/>
      <c r="G7" s="164"/>
      <c r="H7" s="139"/>
      <c r="I7" s="139"/>
      <c r="J7" s="139"/>
      <c r="K7" s="139"/>
      <c r="L7" s="140"/>
    </row>
    <row r="8" spans="1:12" ht="18" customHeight="1" x14ac:dyDescent="0.2">
      <c r="A8" s="171" t="s">
        <v>175</v>
      </c>
      <c r="B8" s="172"/>
      <c r="C8" s="172"/>
      <c r="D8" s="172"/>
      <c r="E8" s="172"/>
      <c r="F8" s="173"/>
      <c r="G8" s="165"/>
      <c r="H8" s="133"/>
      <c r="I8" s="133"/>
      <c r="J8" s="133"/>
      <c r="K8" s="133"/>
      <c r="L8" s="134"/>
    </row>
    <row r="9" spans="1:12" ht="18" customHeight="1" x14ac:dyDescent="0.2">
      <c r="A9" s="171" t="s">
        <v>163</v>
      </c>
      <c r="B9" s="172"/>
      <c r="C9" s="172"/>
      <c r="D9" s="172"/>
      <c r="E9" s="172"/>
      <c r="F9" s="173"/>
      <c r="G9" s="165"/>
      <c r="H9" s="133"/>
      <c r="I9" s="133"/>
      <c r="J9" s="133"/>
      <c r="K9" s="133"/>
      <c r="L9" s="134"/>
    </row>
    <row r="10" spans="1:12" ht="18" customHeight="1" x14ac:dyDescent="0.2">
      <c r="A10" s="143"/>
      <c r="B10" s="133"/>
      <c r="C10" s="133"/>
      <c r="D10" s="133"/>
      <c r="E10" s="133"/>
      <c r="F10" s="134"/>
      <c r="G10" s="174"/>
      <c r="H10" s="133"/>
      <c r="I10" s="133"/>
      <c r="J10" s="133"/>
      <c r="K10" s="133"/>
      <c r="L10" s="134"/>
    </row>
    <row r="11" spans="1:12" ht="18" customHeight="1" thickBot="1" x14ac:dyDescent="0.25">
      <c r="A11" s="167"/>
      <c r="B11" s="136"/>
      <c r="C11" s="136"/>
      <c r="D11" s="136"/>
      <c r="E11" s="136"/>
      <c r="F11" s="137"/>
      <c r="G11" s="24"/>
      <c r="H11" s="87"/>
      <c r="I11" s="87"/>
      <c r="J11" s="87"/>
      <c r="K11" s="87"/>
      <c r="L11" s="18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75"/>
      <c r="B15" s="133"/>
      <c r="C15" s="133"/>
      <c r="D15" s="133"/>
      <c r="E15" s="133"/>
      <c r="F15" s="134"/>
      <c r="G15" s="176"/>
      <c r="H15" s="133"/>
      <c r="I15" s="133"/>
      <c r="J15" s="133"/>
      <c r="K15" s="133"/>
      <c r="L15" s="134"/>
    </row>
    <row r="16" spans="1:12" ht="18" customHeight="1" thickBot="1" x14ac:dyDescent="0.25">
      <c r="A16" s="177"/>
      <c r="B16" s="136"/>
      <c r="C16" s="136"/>
      <c r="D16" s="136"/>
      <c r="E16" s="136"/>
      <c r="F16" s="137"/>
      <c r="G16" s="167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FM05C")+('TITLE LIST'!M:M="ASOT ONLY05C")),"")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6">
    <mergeCell ref="D18:E18"/>
    <mergeCell ref="A14:F14"/>
    <mergeCell ref="G14:L14"/>
    <mergeCell ref="A15:F15"/>
    <mergeCell ref="G15:L15"/>
    <mergeCell ref="A16:F16"/>
    <mergeCell ref="G16:L16"/>
    <mergeCell ref="A13:F13"/>
    <mergeCell ref="G13:L13"/>
    <mergeCell ref="A7:F7"/>
    <mergeCell ref="G7:L7"/>
    <mergeCell ref="A8:F8"/>
    <mergeCell ref="G8:L8"/>
    <mergeCell ref="A9:F9"/>
    <mergeCell ref="G9:L9"/>
    <mergeCell ref="A10:F10"/>
    <mergeCell ref="G10:L10"/>
    <mergeCell ref="A11:F11"/>
    <mergeCell ref="A12:F12"/>
    <mergeCell ref="G12:L12"/>
    <mergeCell ref="A6:C6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92D050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13.5" hidden="1" customWidth="1"/>
    <col min="15" max="18" width="13.5" customWidth="1"/>
    <col min="19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2" x14ac:dyDescent="0.6">
      <c r="A3" s="128" t="s">
        <v>223</v>
      </c>
      <c r="B3" s="122"/>
      <c r="C3" s="122"/>
      <c r="D3" s="122"/>
      <c r="E3" s="122"/>
      <c r="F3" s="4"/>
      <c r="G3" s="4"/>
      <c r="H3" s="4"/>
      <c r="I3" s="5"/>
      <c r="J3" s="8"/>
      <c r="K3" s="12"/>
      <c r="L3" s="13"/>
    </row>
    <row r="4" spans="1:12" ht="20" x14ac:dyDescent="0.25">
      <c r="A4" s="130" t="s">
        <v>75</v>
      </c>
      <c r="B4" s="122"/>
      <c r="C4" s="122"/>
      <c r="D4" s="9"/>
      <c r="E4" s="10"/>
      <c r="F4" s="11"/>
      <c r="G4" s="11"/>
      <c r="H4" s="11"/>
      <c r="I4" s="10"/>
      <c r="J4" s="12"/>
      <c r="K4" s="16"/>
      <c r="L4" s="15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64"/>
      <c r="H7" s="139"/>
      <c r="I7" s="139"/>
      <c r="J7" s="139"/>
      <c r="K7" s="139"/>
      <c r="L7" s="140"/>
    </row>
    <row r="8" spans="1:12" ht="18" customHeight="1" x14ac:dyDescent="0.2">
      <c r="A8" s="132" t="s">
        <v>179</v>
      </c>
      <c r="B8" s="133"/>
      <c r="C8" s="133"/>
      <c r="D8" s="133"/>
      <c r="E8" s="133"/>
      <c r="F8" s="134"/>
      <c r="G8" s="165"/>
      <c r="H8" s="133"/>
      <c r="I8" s="133"/>
      <c r="J8" s="133"/>
      <c r="K8" s="133"/>
      <c r="L8" s="134"/>
    </row>
    <row r="9" spans="1:12" ht="18" customHeight="1" x14ac:dyDescent="0.2">
      <c r="A9" s="132" t="s">
        <v>180</v>
      </c>
      <c r="B9" s="133"/>
      <c r="C9" s="133"/>
      <c r="D9" s="133"/>
      <c r="E9" s="133"/>
      <c r="F9" s="134"/>
      <c r="G9" s="165"/>
      <c r="H9" s="133"/>
      <c r="I9" s="133"/>
      <c r="J9" s="133"/>
      <c r="K9" s="133"/>
      <c r="L9" s="134"/>
    </row>
    <row r="10" spans="1:12" ht="18" customHeight="1" x14ac:dyDescent="0.2">
      <c r="A10" s="160" t="s">
        <v>181</v>
      </c>
      <c r="B10" s="133"/>
      <c r="C10" s="133"/>
      <c r="D10" s="133"/>
      <c r="E10" s="133"/>
      <c r="F10" s="134"/>
      <c r="G10" s="174"/>
      <c r="H10" s="133"/>
      <c r="I10" s="133"/>
      <c r="J10" s="133"/>
      <c r="K10" s="133"/>
      <c r="L10" s="134"/>
    </row>
    <row r="11" spans="1:12" ht="18" customHeight="1" x14ac:dyDescent="0.2">
      <c r="A11" s="167"/>
      <c r="B11" s="136"/>
      <c r="C11" s="136"/>
      <c r="D11" s="136"/>
      <c r="E11" s="136"/>
      <c r="F11" s="137"/>
      <c r="G11" s="24"/>
      <c r="H11" s="87"/>
      <c r="I11" s="87"/>
      <c r="J11" s="87"/>
      <c r="K11" s="87"/>
      <c r="L11" s="18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75"/>
      <c r="B15" s="133"/>
      <c r="C15" s="133"/>
      <c r="D15" s="133"/>
      <c r="E15" s="133"/>
      <c r="F15" s="134"/>
      <c r="G15" s="176"/>
      <c r="H15" s="133"/>
      <c r="I15" s="133"/>
      <c r="J15" s="133"/>
      <c r="K15" s="133"/>
      <c r="L15" s="134"/>
    </row>
    <row r="16" spans="1:12" ht="18" customHeight="1" x14ac:dyDescent="0.2">
      <c r="A16" s="177"/>
      <c r="B16" s="136"/>
      <c r="C16" s="136"/>
      <c r="D16" s="136"/>
      <c r="E16" s="136"/>
      <c r="F16" s="137"/>
      <c r="G16" s="167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FM05E")+('TITLE LIST'!M:M="ASOT ONLY05E")),"")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6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8:L8"/>
    <mergeCell ref="G9:L9"/>
    <mergeCell ref="G10:L10"/>
    <mergeCell ref="G12:L12"/>
    <mergeCell ref="G13:L13"/>
    <mergeCell ref="G14:L14"/>
    <mergeCell ref="G15:L15"/>
    <mergeCell ref="G16:L16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92D050"/>
    <pageSetUpPr fitToPage="1"/>
  </sheetPr>
  <dimension ref="A1:N45"/>
  <sheetViews>
    <sheetView showZeros="0" zoomScale="70" zoomScaleNormal="70" workbookViewId="0">
      <selection activeCell="A3" sqref="A3:I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182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224</v>
      </c>
      <c r="B3" s="122"/>
      <c r="C3" s="122"/>
      <c r="D3" s="122"/>
      <c r="E3" s="122"/>
      <c r="F3" s="122"/>
      <c r="G3" s="122"/>
      <c r="H3" s="122"/>
      <c r="I3" s="122"/>
      <c r="J3" s="8"/>
      <c r="K3" s="129" t="s">
        <v>158</v>
      </c>
      <c r="L3" s="122"/>
    </row>
    <row r="4" spans="1:12" ht="20" x14ac:dyDescent="0.25">
      <c r="A4" s="130" t="s">
        <v>25</v>
      </c>
      <c r="B4" s="122"/>
      <c r="C4" s="122"/>
      <c r="D4" s="23"/>
      <c r="E4" s="10"/>
      <c r="F4" s="11"/>
      <c r="G4" s="11"/>
      <c r="H4" s="11"/>
      <c r="I4" s="10"/>
      <c r="J4" s="12"/>
      <c r="K4" s="122"/>
      <c r="L4" s="12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64"/>
      <c r="H7" s="139"/>
      <c r="I7" s="139"/>
      <c r="J7" s="139"/>
      <c r="K7" s="139"/>
      <c r="L7" s="140"/>
    </row>
    <row r="8" spans="1:12" ht="18" customHeight="1" x14ac:dyDescent="0.2">
      <c r="A8" s="132" t="s">
        <v>183</v>
      </c>
      <c r="B8" s="133"/>
      <c r="C8" s="133"/>
      <c r="D8" s="133"/>
      <c r="E8" s="133"/>
      <c r="F8" s="134"/>
      <c r="G8" s="165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65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4"/>
      <c r="G10" s="84"/>
      <c r="H10" s="85"/>
      <c r="I10" s="85"/>
      <c r="J10" s="85"/>
      <c r="K10" s="85"/>
      <c r="L10" s="86"/>
    </row>
    <row r="11" spans="1:12" ht="18" customHeight="1" x14ac:dyDescent="0.2">
      <c r="A11" s="146"/>
      <c r="B11" s="136"/>
      <c r="C11" s="136"/>
      <c r="D11" s="136"/>
      <c r="E11" s="136"/>
      <c r="F11" s="137"/>
      <c r="G11" s="17"/>
      <c r="H11" s="87"/>
      <c r="I11" s="87"/>
      <c r="J11" s="87"/>
      <c r="K11" s="87"/>
      <c r="L11" s="18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84"/>
      <c r="B15" s="85"/>
      <c r="C15" s="85"/>
      <c r="D15" s="85"/>
      <c r="E15" s="85"/>
      <c r="F15" s="86"/>
      <c r="G15" s="149"/>
      <c r="H15" s="133"/>
      <c r="I15" s="133"/>
      <c r="J15" s="133"/>
      <c r="K15" s="133"/>
      <c r="L15" s="134"/>
    </row>
    <row r="16" spans="1:12" ht="18" customHeight="1" x14ac:dyDescent="0.2">
      <c r="A16" s="17"/>
      <c r="B16" s="87"/>
      <c r="C16" s="87"/>
      <c r="D16" s="87"/>
      <c r="E16" s="87"/>
      <c r="F16" s="18"/>
      <c r="G16" s="146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SPLITSALL")+('TITLE LIST'!M:M="ASOT ONLYALL")+('TITLE LIST'!M:M="AENG SPLITS05F")+('TITLE LIST'!M:M="ASOT ONLY05F")),"")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4">
    <mergeCell ref="D18:E18"/>
    <mergeCell ref="A11:F11"/>
    <mergeCell ref="A12:F12"/>
    <mergeCell ref="G12:L12"/>
    <mergeCell ref="A13:F13"/>
    <mergeCell ref="G13:L13"/>
    <mergeCell ref="A14:F14"/>
    <mergeCell ref="G14:L14"/>
    <mergeCell ref="A9:F9"/>
    <mergeCell ref="G9:L9"/>
    <mergeCell ref="A10:F10"/>
    <mergeCell ref="G15:L15"/>
    <mergeCell ref="G16:L16"/>
    <mergeCell ref="A5:D5"/>
    <mergeCell ref="A7:F7"/>
    <mergeCell ref="G7:L7"/>
    <mergeCell ref="A8:F8"/>
    <mergeCell ref="G8:L8"/>
    <mergeCell ref="A6:C6"/>
    <mergeCell ref="A1:L1"/>
    <mergeCell ref="A2:D2"/>
    <mergeCell ref="A3:I3"/>
    <mergeCell ref="K3:L4"/>
    <mergeCell ref="A4:C4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92D050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225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25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FM05G")+('TITLE LIST'!M:M="ASOT ONLY05G")),"")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00B0F0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13.5" hidden="1" customWidth="1"/>
    <col min="15" max="18" width="13.5" customWidth="1"/>
    <col min="19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184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226</v>
      </c>
      <c r="B3" s="122"/>
      <c r="C3" s="122"/>
      <c r="D3" s="122"/>
      <c r="E3" s="122"/>
      <c r="F3" s="4"/>
      <c r="G3" s="4"/>
      <c r="H3" s="4"/>
      <c r="I3" s="5"/>
      <c r="J3" s="8"/>
      <c r="K3" s="8"/>
      <c r="L3" s="8"/>
    </row>
    <row r="4" spans="1:12" ht="20" x14ac:dyDescent="0.25">
      <c r="A4" s="179" t="s">
        <v>75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64"/>
      <c r="H7" s="139"/>
      <c r="I7" s="139"/>
      <c r="J7" s="139"/>
      <c r="K7" s="139"/>
      <c r="L7" s="140"/>
    </row>
    <row r="8" spans="1:12" ht="18" customHeight="1" x14ac:dyDescent="0.2">
      <c r="A8" s="132" t="s">
        <v>185</v>
      </c>
      <c r="B8" s="133"/>
      <c r="C8" s="133"/>
      <c r="D8" s="133"/>
      <c r="E8" s="133"/>
      <c r="F8" s="134"/>
      <c r="G8" s="165"/>
      <c r="H8" s="133"/>
      <c r="I8" s="133"/>
      <c r="J8" s="133"/>
      <c r="K8" s="133"/>
      <c r="L8" s="134"/>
    </row>
    <row r="9" spans="1:12" ht="18" customHeight="1" x14ac:dyDescent="0.2">
      <c r="A9" s="132" t="s">
        <v>186</v>
      </c>
      <c r="B9" s="133"/>
      <c r="C9" s="133"/>
      <c r="D9" s="133"/>
      <c r="E9" s="133"/>
      <c r="F9" s="134"/>
      <c r="G9" s="178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4"/>
      <c r="G10" s="84"/>
      <c r="H10" s="85"/>
      <c r="I10" s="85"/>
      <c r="J10" s="85"/>
      <c r="K10" s="85"/>
      <c r="L10" s="86"/>
    </row>
    <row r="11" spans="1:12" ht="18" customHeight="1" x14ac:dyDescent="0.2">
      <c r="A11" s="146"/>
      <c r="B11" s="136"/>
      <c r="C11" s="136"/>
      <c r="D11" s="136"/>
      <c r="E11" s="136"/>
      <c r="F11" s="137"/>
      <c r="G11" s="17"/>
      <c r="H11" s="87"/>
      <c r="I11" s="87"/>
      <c r="J11" s="87"/>
      <c r="K11" s="87"/>
      <c r="L11" s="18"/>
    </row>
    <row r="12" spans="1:12" ht="18" customHeight="1" x14ac:dyDescent="0.2">
      <c r="A12" s="138"/>
      <c r="B12" s="139"/>
      <c r="C12" s="139"/>
      <c r="D12" s="139"/>
      <c r="E12" s="139"/>
      <c r="F12" s="140"/>
      <c r="G12" s="25"/>
      <c r="H12" s="26"/>
      <c r="I12" s="26"/>
      <c r="J12" s="26"/>
      <c r="K12" s="26"/>
      <c r="L12" s="27"/>
    </row>
    <row r="13" spans="1:12" ht="18" customHeight="1" x14ac:dyDescent="0.2">
      <c r="A13" s="143"/>
      <c r="B13" s="133"/>
      <c r="C13" s="133"/>
      <c r="D13" s="133"/>
      <c r="E13" s="133"/>
      <c r="F13" s="134"/>
      <c r="G13" s="84"/>
      <c r="H13" s="85"/>
      <c r="I13" s="85"/>
      <c r="J13" s="85"/>
      <c r="K13" s="85"/>
      <c r="L13" s="86"/>
    </row>
    <row r="14" spans="1:12" ht="18" customHeight="1" x14ac:dyDescent="0.2">
      <c r="A14" s="143"/>
      <c r="B14" s="133"/>
      <c r="C14" s="133"/>
      <c r="D14" s="133"/>
      <c r="E14" s="133"/>
      <c r="F14" s="134"/>
      <c r="G14" s="84"/>
      <c r="H14" s="85"/>
      <c r="I14" s="85"/>
      <c r="J14" s="85"/>
      <c r="K14" s="85"/>
      <c r="L14" s="86"/>
    </row>
    <row r="15" spans="1:12" ht="15" customHeight="1" x14ac:dyDescent="0.2">
      <c r="A15" s="132"/>
      <c r="B15" s="133"/>
      <c r="C15" s="133"/>
      <c r="D15" s="133"/>
      <c r="E15" s="133"/>
      <c r="F15" s="134"/>
      <c r="G15" s="84"/>
      <c r="H15" s="85"/>
      <c r="I15" s="85"/>
      <c r="J15" s="85"/>
      <c r="K15" s="85"/>
      <c r="L15" s="86"/>
    </row>
    <row r="16" spans="1:12" ht="15" customHeight="1" thickBot="1" x14ac:dyDescent="0.25">
      <c r="A16" s="146"/>
      <c r="B16" s="136"/>
      <c r="C16" s="136"/>
      <c r="D16" s="136"/>
      <c r="E16" s="136"/>
      <c r="F16" s="137"/>
      <c r="G16" s="17"/>
      <c r="H16" s="87"/>
      <c r="I16" s="87"/>
      <c r="J16" s="87"/>
      <c r="K16" s="87"/>
      <c r="L16" s="18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FM06A")+('TITLE LIST'!M:M="ABI FM06A")+('TITLE LIST'!M:M="ASOT ONLY06A")),"")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0">
    <mergeCell ref="A14:F14"/>
    <mergeCell ref="D18:E18"/>
    <mergeCell ref="A7:F7"/>
    <mergeCell ref="A8:F8"/>
    <mergeCell ref="A9:F9"/>
    <mergeCell ref="A10:F10"/>
    <mergeCell ref="A11:F11"/>
    <mergeCell ref="A12:F12"/>
    <mergeCell ref="A13:F13"/>
    <mergeCell ref="A15:F15"/>
    <mergeCell ref="A16:F16"/>
    <mergeCell ref="G8:L8"/>
    <mergeCell ref="G9:L9"/>
    <mergeCell ref="A1:L1"/>
    <mergeCell ref="A2:D2"/>
    <mergeCell ref="A3:E3"/>
    <mergeCell ref="A4:C4"/>
    <mergeCell ref="A5:D5"/>
    <mergeCell ref="G7:L7"/>
    <mergeCell ref="A6:C6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00B0F0"/>
    <pageSetUpPr fitToPage="1"/>
  </sheetPr>
  <dimension ref="A1:N45"/>
  <sheetViews>
    <sheetView showZeros="0" zoomScale="70" zoomScaleNormal="70" workbookViewId="0">
      <selection activeCell="A3" sqref="A3:G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227</v>
      </c>
      <c r="B3" s="122"/>
      <c r="C3" s="122"/>
      <c r="D3" s="122"/>
      <c r="E3" s="122"/>
      <c r="F3" s="122"/>
      <c r="G3" s="122"/>
      <c r="H3" s="4"/>
      <c r="I3" s="5"/>
      <c r="J3" s="8"/>
      <c r="K3" s="8"/>
      <c r="L3" s="8"/>
    </row>
    <row r="4" spans="1:12" ht="20" x14ac:dyDescent="0.25">
      <c r="A4" s="179" t="s">
        <v>75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64"/>
      <c r="H7" s="139"/>
      <c r="I7" s="139"/>
      <c r="J7" s="139"/>
      <c r="K7" s="139"/>
      <c r="L7" s="140"/>
    </row>
    <row r="8" spans="1:12" ht="18" customHeight="1" x14ac:dyDescent="0.2">
      <c r="A8" s="132" t="s">
        <v>163</v>
      </c>
      <c r="B8" s="133"/>
      <c r="C8" s="133"/>
      <c r="D8" s="133"/>
      <c r="E8" s="133"/>
      <c r="F8" s="134"/>
      <c r="G8" s="165"/>
      <c r="H8" s="133"/>
      <c r="I8" s="133"/>
      <c r="J8" s="133"/>
      <c r="K8" s="133"/>
      <c r="L8" s="134"/>
    </row>
    <row r="9" spans="1:12" ht="18" customHeight="1" x14ac:dyDescent="0.2">
      <c r="A9" s="132" t="s">
        <v>187</v>
      </c>
      <c r="B9" s="133"/>
      <c r="C9" s="133"/>
      <c r="D9" s="133"/>
      <c r="E9" s="133"/>
      <c r="F9" s="134"/>
      <c r="G9" s="165"/>
      <c r="H9" s="133"/>
      <c r="I9" s="133"/>
      <c r="J9" s="133"/>
      <c r="K9" s="133"/>
      <c r="L9" s="134"/>
    </row>
    <row r="10" spans="1:12" ht="18" customHeight="1" x14ac:dyDescent="0.2">
      <c r="A10" s="132" t="s">
        <v>186</v>
      </c>
      <c r="B10" s="133"/>
      <c r="C10" s="133"/>
      <c r="D10" s="133"/>
      <c r="E10" s="133"/>
      <c r="F10" s="134"/>
      <c r="G10" s="165"/>
      <c r="H10" s="133"/>
      <c r="I10" s="133"/>
      <c r="J10" s="133"/>
      <c r="K10" s="133"/>
      <c r="L10" s="134"/>
    </row>
    <row r="11" spans="1:12" ht="18" customHeight="1" x14ac:dyDescent="0.2">
      <c r="A11" s="183" t="s">
        <v>188</v>
      </c>
      <c r="B11" s="136"/>
      <c r="C11" s="136"/>
      <c r="D11" s="136"/>
      <c r="E11" s="136"/>
      <c r="F11" s="137"/>
      <c r="G11" s="182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55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5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58"/>
      <c r="H14" s="133"/>
      <c r="I14" s="133"/>
      <c r="J14" s="133"/>
      <c r="K14" s="133"/>
      <c r="L14" s="134"/>
    </row>
    <row r="15" spans="1:12" ht="18" customHeight="1" x14ac:dyDescent="0.2">
      <c r="A15" s="143"/>
      <c r="B15" s="133"/>
      <c r="C15" s="133"/>
      <c r="D15" s="133"/>
      <c r="E15" s="133"/>
      <c r="F15" s="134"/>
      <c r="G15" s="158"/>
      <c r="H15" s="133"/>
      <c r="I15" s="133"/>
      <c r="J15" s="133"/>
      <c r="K15" s="133"/>
      <c r="L15" s="134"/>
    </row>
    <row r="16" spans="1:12" ht="18" customHeight="1" x14ac:dyDescent="0.2">
      <c r="A16" s="180"/>
      <c r="B16" s="136"/>
      <c r="C16" s="136"/>
      <c r="D16" s="136"/>
      <c r="E16" s="136"/>
      <c r="F16" s="137"/>
      <c r="G16" s="181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FM06C")+('TITLE LIST'!M:M="ABI FM06C")+('TITLE LIST'!M:M="ASOT ONLY06C")),"")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G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tabColor rgb="FF00B0F0"/>
    <pageSetUpPr fitToPage="1"/>
  </sheetPr>
  <dimension ref="A1:N45"/>
  <sheetViews>
    <sheetView showZeros="0" zoomScale="70" zoomScaleNormal="70" workbookViewId="0">
      <selection activeCell="A3" sqref="A3:G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228</v>
      </c>
      <c r="B3" s="122"/>
      <c r="C3" s="122"/>
      <c r="D3" s="122"/>
      <c r="E3" s="122"/>
      <c r="F3" s="122"/>
      <c r="G3" s="122"/>
      <c r="H3" s="4"/>
      <c r="I3" s="5"/>
      <c r="J3" s="8"/>
      <c r="K3" s="8"/>
      <c r="L3" s="8"/>
    </row>
    <row r="4" spans="1:12" ht="20" x14ac:dyDescent="0.25">
      <c r="A4" s="130" t="s">
        <v>75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64"/>
      <c r="H7" s="139"/>
      <c r="I7" s="139"/>
      <c r="J7" s="139"/>
      <c r="K7" s="139"/>
      <c r="L7" s="140"/>
    </row>
    <row r="8" spans="1:12" ht="18" customHeight="1" x14ac:dyDescent="0.2">
      <c r="A8" s="132" t="s">
        <v>163</v>
      </c>
      <c r="B8" s="133"/>
      <c r="C8" s="133"/>
      <c r="D8" s="133"/>
      <c r="E8" s="133"/>
      <c r="F8" s="134"/>
      <c r="G8" s="165"/>
      <c r="H8" s="133"/>
      <c r="I8" s="133"/>
      <c r="J8" s="133"/>
      <c r="K8" s="133"/>
      <c r="L8" s="134"/>
    </row>
    <row r="9" spans="1:12" ht="18" customHeight="1" x14ac:dyDescent="0.2">
      <c r="A9" s="132" t="s">
        <v>186</v>
      </c>
      <c r="B9" s="133"/>
      <c r="C9" s="133"/>
      <c r="D9" s="133"/>
      <c r="E9" s="133"/>
      <c r="F9" s="134"/>
      <c r="G9" s="165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46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84"/>
      <c r="H14" s="133"/>
      <c r="I14" s="133"/>
      <c r="J14" s="133"/>
      <c r="K14" s="133"/>
      <c r="L14" s="134"/>
    </row>
    <row r="15" spans="1:12" ht="18" customHeight="1" x14ac:dyDescent="0.2">
      <c r="A15" s="143"/>
      <c r="B15" s="133"/>
      <c r="C15" s="133"/>
      <c r="D15" s="133"/>
      <c r="E15" s="133"/>
      <c r="F15" s="134"/>
      <c r="G15" s="149"/>
      <c r="H15" s="133"/>
      <c r="I15" s="133"/>
      <c r="J15" s="133"/>
      <c r="K15" s="133"/>
      <c r="L15" s="134"/>
    </row>
    <row r="16" spans="1:12" ht="18" customHeight="1" x14ac:dyDescent="0.2">
      <c r="A16" s="180"/>
      <c r="B16" s="136"/>
      <c r="C16" s="136"/>
      <c r="D16" s="136"/>
      <c r="E16" s="136"/>
      <c r="F16" s="137"/>
      <c r="G16" s="146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FM06D")+('TITLE LIST'!M:M="ABI FM06D")+('TITLE LIST'!M:M="ASOT ONLY06D")),"")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G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00B0F0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229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25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64"/>
      <c r="H7" s="139"/>
      <c r="I7" s="139"/>
      <c r="J7" s="139"/>
      <c r="K7" s="139"/>
      <c r="L7" s="140"/>
    </row>
    <row r="8" spans="1:12" ht="18" customHeight="1" x14ac:dyDescent="0.2">
      <c r="A8" s="132" t="s">
        <v>163</v>
      </c>
      <c r="B8" s="133"/>
      <c r="C8" s="133"/>
      <c r="D8" s="133"/>
      <c r="E8" s="133"/>
      <c r="F8" s="134"/>
      <c r="G8" s="165"/>
      <c r="H8" s="133"/>
      <c r="I8" s="133"/>
      <c r="J8" s="133"/>
      <c r="K8" s="133"/>
      <c r="L8" s="134"/>
    </row>
    <row r="9" spans="1:12" ht="18" customHeight="1" x14ac:dyDescent="0.2">
      <c r="A9" s="132" t="s">
        <v>186</v>
      </c>
      <c r="B9" s="133"/>
      <c r="C9" s="133"/>
      <c r="D9" s="133"/>
      <c r="E9" s="133"/>
      <c r="F9" s="134"/>
      <c r="G9" s="165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46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43"/>
      <c r="B15" s="133"/>
      <c r="C15" s="133"/>
      <c r="D15" s="133"/>
      <c r="E15" s="133"/>
      <c r="F15" s="134"/>
      <c r="G15" s="158"/>
      <c r="H15" s="133"/>
      <c r="I15" s="133"/>
      <c r="J15" s="133"/>
      <c r="K15" s="133"/>
      <c r="L15" s="134"/>
    </row>
    <row r="16" spans="1:12" ht="18" customHeight="1" x14ac:dyDescent="0.2">
      <c r="A16" s="180"/>
      <c r="B16" s="136"/>
      <c r="C16" s="136"/>
      <c r="D16" s="136"/>
      <c r="E16" s="136"/>
      <c r="F16" s="137"/>
      <c r="G16" s="185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FM06J")+('TITLE LIST'!M:M="ABI FM06J")+('TITLE LIST'!M:M="ASOT ONLY06J")),"")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>
    <tabColor rgb="FF00B0F0"/>
    <pageSetUpPr fitToPage="1"/>
  </sheetPr>
  <dimension ref="A1:N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171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230</v>
      </c>
      <c r="B3" s="122"/>
      <c r="C3" s="122"/>
      <c r="D3" s="122"/>
      <c r="E3" s="122"/>
      <c r="F3" s="7"/>
      <c r="G3" s="4"/>
      <c r="H3" s="4"/>
      <c r="I3" s="5"/>
      <c r="J3" s="8"/>
      <c r="K3" s="8"/>
      <c r="L3" s="8"/>
    </row>
    <row r="4" spans="1:12" ht="20" x14ac:dyDescent="0.25">
      <c r="A4" s="130" t="s">
        <v>25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1"/>
      <c r="H7" s="139"/>
      <c r="I7" s="139"/>
      <c r="J7" s="139"/>
      <c r="K7" s="139"/>
      <c r="L7" s="140"/>
    </row>
    <row r="8" spans="1:12" ht="18" customHeight="1" x14ac:dyDescent="0.2">
      <c r="A8" s="132" t="s">
        <v>163</v>
      </c>
      <c r="B8" s="133"/>
      <c r="C8" s="133"/>
      <c r="D8" s="133"/>
      <c r="E8" s="133"/>
      <c r="F8" s="134"/>
      <c r="G8" s="152"/>
      <c r="H8" s="133"/>
      <c r="I8" s="133"/>
      <c r="J8" s="133"/>
      <c r="K8" s="133"/>
      <c r="L8" s="134"/>
    </row>
    <row r="9" spans="1:12" ht="18" customHeight="1" x14ac:dyDescent="0.2">
      <c r="A9" s="132" t="s">
        <v>186</v>
      </c>
      <c r="B9" s="133"/>
      <c r="C9" s="133"/>
      <c r="D9" s="133"/>
      <c r="E9" s="133"/>
      <c r="F9" s="134"/>
      <c r="G9" s="152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46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51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52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52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LIST'!M:M="ABI FMALL")+('TITLE LIST'!M:M="ASOT ONLYALL")+('TITLE LIST'!M:M="AENG FM06K")+('TITLE LIST'!M:M="ABI FM06K")+('TITLE LIST'!M:M="ASOT ONLY06K")),"")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rgb="FFB2A1C7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189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231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190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191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60" t="s">
        <v>192</v>
      </c>
      <c r="B10" s="133"/>
      <c r="C10" s="133"/>
      <c r="D10" s="133"/>
      <c r="E10" s="133"/>
      <c r="F10" s="134"/>
      <c r="G10" s="158"/>
      <c r="H10" s="133"/>
      <c r="I10" s="133"/>
      <c r="J10" s="133"/>
      <c r="K10" s="133"/>
      <c r="L10" s="134"/>
    </row>
    <row r="11" spans="1:12" ht="18" customHeight="1" x14ac:dyDescent="0.2">
      <c r="A11" s="187" t="s">
        <v>193</v>
      </c>
      <c r="B11" s="136"/>
      <c r="C11" s="136"/>
      <c r="D11" s="136"/>
      <c r="E11" s="136"/>
      <c r="F11" s="137"/>
      <c r="G11" s="158"/>
      <c r="H11" s="133"/>
      <c r="I11" s="133"/>
      <c r="J11" s="133"/>
      <c r="K11" s="133"/>
      <c r="L11" s="134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75"/>
      <c r="B15" s="133"/>
      <c r="C15" s="133"/>
      <c r="D15" s="133"/>
      <c r="E15" s="133"/>
      <c r="F15" s="134"/>
      <c r="G15" s="176"/>
      <c r="H15" s="133"/>
      <c r="I15" s="133"/>
      <c r="J15" s="133"/>
      <c r="K15" s="133"/>
      <c r="L15" s="134"/>
    </row>
    <row r="16" spans="1:12" ht="18" customHeight="1" x14ac:dyDescent="0.2">
      <c r="A16" s="180"/>
      <c r="B16" s="136"/>
      <c r="C16" s="136"/>
      <c r="D16" s="136"/>
      <c r="E16" s="136"/>
      <c r="F16" s="137"/>
      <c r="G16" s="186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FM07A")+('TITLE LIST'!M:M="ASOT ONLY07A")),"")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95"/>
      <c r="E21" s="95"/>
      <c r="F21" s="94"/>
      <c r="G21" s="94"/>
      <c r="H21" s="100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95"/>
      <c r="E22" s="95"/>
      <c r="F22" s="94"/>
      <c r="G22" s="94"/>
      <c r="H22" s="100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tabColor rgb="FFB2A1C7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189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232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190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191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FM07C")+('TITLE LIST'!M:M="ASOT ONLY07C")),"")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B2A1C7"/>
    <pageSetUpPr fitToPage="1"/>
  </sheetPr>
  <dimension ref="A1:N45"/>
  <sheetViews>
    <sheetView showZeros="0" zoomScale="70" zoomScaleNormal="70" workbookViewId="0">
      <selection activeCell="A3" sqref="A3:H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27" t="s">
        <v>189</v>
      </c>
      <c r="B2" s="122"/>
      <c r="C2" s="122"/>
      <c r="D2" s="122"/>
      <c r="E2" s="4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233</v>
      </c>
      <c r="B3" s="122"/>
      <c r="C3" s="122"/>
      <c r="D3" s="122"/>
      <c r="E3" s="122"/>
      <c r="F3" s="122"/>
      <c r="G3" s="122"/>
      <c r="H3" s="122"/>
      <c r="I3" s="5"/>
      <c r="J3" s="8"/>
      <c r="K3" s="8"/>
      <c r="L3" s="8"/>
    </row>
    <row r="4" spans="1:12" ht="20" x14ac:dyDescent="0.25">
      <c r="A4" s="130" t="s">
        <v>191</v>
      </c>
      <c r="B4" s="122"/>
      <c r="C4" s="122"/>
      <c r="D4" s="23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191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FM07D")+('TITLE LIST'!M:M="ASOT ONLY07D")),"")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H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>
    <tabColor theme="7" tint="-0.249977111117893"/>
    <pageSetUpPr fitToPage="1"/>
  </sheetPr>
  <dimension ref="A1:N45"/>
  <sheetViews>
    <sheetView showZeros="0" zoomScale="70" zoomScaleNormal="70" workbookViewId="0">
      <selection activeCell="A3" sqref="A3:G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" x14ac:dyDescent="0.2">
      <c r="A2" s="188" t="s">
        <v>194</v>
      </c>
      <c r="B2" s="122"/>
      <c r="C2" s="122"/>
      <c r="D2" s="122"/>
      <c r="E2" s="122"/>
      <c r="F2" s="122"/>
      <c r="G2" s="122"/>
      <c r="H2" s="4"/>
      <c r="I2" s="5"/>
      <c r="J2" s="5"/>
      <c r="K2" s="4"/>
      <c r="L2" s="4"/>
    </row>
    <row r="3" spans="1:12" ht="50.25" customHeight="1" x14ac:dyDescent="0.6">
      <c r="A3" s="128" t="s">
        <v>234</v>
      </c>
      <c r="B3" s="122"/>
      <c r="C3" s="122"/>
      <c r="D3" s="122"/>
      <c r="E3" s="122"/>
      <c r="F3" s="122"/>
      <c r="G3" s="122"/>
      <c r="H3" s="4"/>
      <c r="I3" s="5"/>
      <c r="J3" s="8"/>
      <c r="K3" s="8"/>
      <c r="L3" s="8"/>
    </row>
    <row r="4" spans="1:12" ht="20" x14ac:dyDescent="0.25">
      <c r="A4" s="130" t="s">
        <v>75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FM08A")+('TITLE LIST'!M:M="ASOT ONLY08A")),"")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G2"/>
    <mergeCell ref="A3:G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>
    <tabColor theme="7" tint="-0.249977111117893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" x14ac:dyDescent="0.2">
      <c r="A2" s="131" t="s">
        <v>171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235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75</v>
      </c>
      <c r="B4" s="122"/>
      <c r="C4" s="122"/>
      <c r="D4" s="122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FM08B")+('TITLE LIST'!M:M="ASOT ONLY08B")),"")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C2"/>
    <mergeCell ref="A3:F3"/>
    <mergeCell ref="A4:D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>
    <tabColor rgb="FF008000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" x14ac:dyDescent="0.2">
      <c r="A2" s="131" t="s">
        <v>171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236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75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47"/>
      <c r="H7" s="139"/>
      <c r="I7" s="139"/>
      <c r="J7" s="139"/>
      <c r="K7" s="139"/>
      <c r="L7" s="140"/>
    </row>
    <row r="8" spans="1:12" ht="18" customHeight="1" x14ac:dyDescent="0.2">
      <c r="A8" s="160" t="s">
        <v>195</v>
      </c>
      <c r="B8" s="133"/>
      <c r="C8" s="133"/>
      <c r="D8" s="133"/>
      <c r="E8" s="133"/>
      <c r="F8" s="134"/>
      <c r="G8" s="148"/>
      <c r="H8" s="133"/>
      <c r="I8" s="133"/>
      <c r="J8" s="133"/>
      <c r="K8" s="133"/>
      <c r="L8" s="134"/>
    </row>
    <row r="9" spans="1:12" ht="18" customHeight="1" x14ac:dyDescent="0.2">
      <c r="A9" s="132" t="s">
        <v>196</v>
      </c>
      <c r="B9" s="133"/>
      <c r="C9" s="133"/>
      <c r="D9" s="133"/>
      <c r="E9" s="133"/>
      <c r="F9" s="134"/>
      <c r="G9" s="148"/>
      <c r="H9" s="133"/>
      <c r="I9" s="133"/>
      <c r="J9" s="133"/>
      <c r="K9" s="133"/>
      <c r="L9" s="134"/>
    </row>
    <row r="10" spans="1:12" ht="18" customHeight="1" x14ac:dyDescent="0.2">
      <c r="A10" s="132"/>
      <c r="B10" s="133"/>
      <c r="C10" s="133"/>
      <c r="D10" s="133"/>
      <c r="E10" s="133"/>
      <c r="F10" s="134"/>
      <c r="G10" s="148"/>
      <c r="H10" s="133"/>
      <c r="I10" s="133"/>
      <c r="J10" s="133"/>
      <c r="K10" s="133"/>
      <c r="L10" s="134"/>
    </row>
    <row r="11" spans="1:12" ht="18" customHeight="1" x14ac:dyDescent="0.2">
      <c r="A11" s="190"/>
      <c r="B11" s="136"/>
      <c r="C11" s="136"/>
      <c r="D11" s="136"/>
      <c r="E11" s="136"/>
      <c r="F11" s="137"/>
      <c r="G11" s="189"/>
      <c r="H11" s="136"/>
      <c r="I11" s="136"/>
      <c r="J11" s="136"/>
      <c r="K11" s="136"/>
      <c r="L11" s="137"/>
    </row>
    <row r="12" spans="1:12" ht="18" customHeight="1" x14ac:dyDescent="0.2">
      <c r="A12" s="151"/>
      <c r="B12" s="139"/>
      <c r="C12" s="139"/>
      <c r="D12" s="139"/>
      <c r="E12" s="139"/>
      <c r="F12" s="140"/>
      <c r="G12" s="147"/>
      <c r="H12" s="139"/>
      <c r="I12" s="139"/>
      <c r="J12" s="139"/>
      <c r="K12" s="139"/>
      <c r="L12" s="140"/>
    </row>
    <row r="13" spans="1:12" ht="18" customHeight="1" x14ac:dyDescent="0.2">
      <c r="A13" s="152"/>
      <c r="B13" s="133"/>
      <c r="C13" s="133"/>
      <c r="D13" s="133"/>
      <c r="E13" s="133"/>
      <c r="F13" s="134"/>
      <c r="G13" s="176"/>
      <c r="H13" s="133"/>
      <c r="I13" s="133"/>
      <c r="J13" s="133"/>
      <c r="K13" s="133"/>
      <c r="L13" s="134"/>
    </row>
    <row r="14" spans="1:12" ht="18" customHeight="1" x14ac:dyDescent="0.2">
      <c r="A14" s="152"/>
      <c r="B14" s="133"/>
      <c r="C14" s="133"/>
      <c r="D14" s="133"/>
      <c r="E14" s="133"/>
      <c r="F14" s="134"/>
      <c r="G14" s="148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48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89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LIST'!M:M="AVIET FMALL")+('TITLE LIST'!M:M="ASOT ONLYALL")+('TITLE LIST'!M:M="AENG FM10A")+('TITLE LIST'!M:M="AVIET FM10A")+('TITLE LIST'!M:M="ASOT ONLY10A")),"")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C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>
    <tabColor theme="9" tint="-0.249977111117893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91" t="s">
        <v>171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237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75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39"/>
      <c r="G7" s="138"/>
      <c r="H7" s="139"/>
      <c r="I7" s="139"/>
      <c r="J7" s="139"/>
      <c r="K7" s="139"/>
      <c r="L7" s="140"/>
    </row>
    <row r="8" spans="1:12" ht="18" customHeight="1" x14ac:dyDescent="0.2">
      <c r="A8" s="132" t="s">
        <v>163</v>
      </c>
      <c r="B8" s="133"/>
      <c r="C8" s="133"/>
      <c r="D8" s="133"/>
      <c r="E8" s="133"/>
      <c r="F8" s="133"/>
      <c r="G8" s="143"/>
      <c r="H8" s="133"/>
      <c r="I8" s="133"/>
      <c r="J8" s="133"/>
      <c r="K8" s="133"/>
      <c r="L8" s="134"/>
    </row>
    <row r="9" spans="1:12" ht="18" customHeight="1" x14ac:dyDescent="0.2">
      <c r="A9" s="132" t="s">
        <v>175</v>
      </c>
      <c r="B9" s="133"/>
      <c r="C9" s="133"/>
      <c r="D9" s="133"/>
      <c r="E9" s="133"/>
      <c r="F9" s="133"/>
      <c r="G9" s="143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3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6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84"/>
      <c r="H12" s="133"/>
      <c r="I12" s="133"/>
      <c r="J12" s="133"/>
      <c r="K12" s="133"/>
      <c r="L12" s="134"/>
    </row>
    <row r="13" spans="1:12" ht="18" customHeight="1" x14ac:dyDescent="0.2">
      <c r="A13" s="143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FM11A")+('TITLE LIST'!M:M="ASOT ONLY11A")),"")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C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>
    <tabColor theme="9" tint="-0.249977111117893"/>
    <pageSetUpPr fitToPage="1"/>
  </sheetPr>
  <dimension ref="A1:N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91" t="s">
        <v>171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238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197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39"/>
      <c r="G7" s="138"/>
      <c r="H7" s="139"/>
      <c r="I7" s="139"/>
      <c r="J7" s="139"/>
      <c r="K7" s="139"/>
      <c r="L7" s="140"/>
    </row>
    <row r="8" spans="1:12" ht="18" customHeight="1" x14ac:dyDescent="0.2">
      <c r="A8" s="132" t="s">
        <v>163</v>
      </c>
      <c r="B8" s="133"/>
      <c r="C8" s="133"/>
      <c r="D8" s="133"/>
      <c r="E8" s="133"/>
      <c r="F8" s="133"/>
      <c r="G8" s="143"/>
      <c r="H8" s="133"/>
      <c r="I8" s="133"/>
      <c r="J8" s="133"/>
      <c r="K8" s="133"/>
      <c r="L8" s="134"/>
    </row>
    <row r="9" spans="1:12" ht="18" customHeight="1" x14ac:dyDescent="0.2">
      <c r="A9" s="132" t="s">
        <v>175</v>
      </c>
      <c r="B9" s="133"/>
      <c r="C9" s="133"/>
      <c r="D9" s="133"/>
      <c r="E9" s="133"/>
      <c r="F9" s="133"/>
      <c r="G9" s="143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3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6"/>
      <c r="G11" s="153"/>
      <c r="H11" s="136"/>
      <c r="I11" s="136"/>
      <c r="J11" s="136"/>
      <c r="K11" s="136"/>
      <c r="L11" s="137"/>
    </row>
    <row r="12" spans="1:12" ht="18" customHeight="1" x14ac:dyDescent="0.2">
      <c r="A12" s="155"/>
      <c r="B12" s="139"/>
      <c r="C12" s="139"/>
      <c r="D12" s="139"/>
      <c r="E12" s="139"/>
      <c r="F12" s="140"/>
      <c r="G12" s="184"/>
      <c r="H12" s="133"/>
      <c r="I12" s="133"/>
      <c r="J12" s="133"/>
      <c r="K12" s="133"/>
      <c r="L12" s="134"/>
    </row>
    <row r="13" spans="1:12" ht="18" customHeight="1" x14ac:dyDescent="0.2">
      <c r="A13" s="158"/>
      <c r="B13" s="133"/>
      <c r="C13" s="133"/>
      <c r="D13" s="133"/>
      <c r="E13" s="133"/>
      <c r="F13" s="134"/>
      <c r="G13" s="148"/>
      <c r="H13" s="133"/>
      <c r="I13" s="133"/>
      <c r="J13" s="133"/>
      <c r="K13" s="133"/>
      <c r="L13" s="134"/>
    </row>
    <row r="14" spans="1:12" ht="18" customHeight="1" x14ac:dyDescent="0.2">
      <c r="A14" s="152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FM11B")+('TITLE LIST'!M:M="ASOT ONLY11B")),"")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C2"/>
    <mergeCell ref="A3:F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>
    <tabColor rgb="FFA50021"/>
    <pageSetUpPr fitToPage="1"/>
  </sheetPr>
  <dimension ref="A1:N45"/>
  <sheetViews>
    <sheetView showZeros="0" zoomScale="70" zoomScaleNormal="70" workbookViewId="0">
      <selection activeCell="A3" sqref="A3:D3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7" x14ac:dyDescent="0.2">
      <c r="A2" s="191" t="s">
        <v>171</v>
      </c>
      <c r="B2" s="122"/>
      <c r="C2" s="122"/>
      <c r="D2" s="29"/>
      <c r="E2" s="29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239</v>
      </c>
      <c r="B3" s="122"/>
      <c r="C3" s="122"/>
      <c r="D3" s="122"/>
      <c r="E3" s="14"/>
      <c r="F3" s="4"/>
      <c r="G3" s="4"/>
      <c r="H3" s="4"/>
      <c r="I3" s="5"/>
      <c r="J3" s="8"/>
      <c r="K3" s="8"/>
      <c r="L3" s="8"/>
    </row>
    <row r="4" spans="1:12" ht="20" x14ac:dyDescent="0.25">
      <c r="A4" s="130" t="s">
        <v>25</v>
      </c>
      <c r="B4" s="122"/>
      <c r="C4" s="122"/>
      <c r="D4" s="28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39"/>
      <c r="G7" s="151"/>
      <c r="H7" s="139"/>
      <c r="I7" s="139"/>
      <c r="J7" s="139"/>
      <c r="K7" s="139"/>
      <c r="L7" s="140"/>
    </row>
    <row r="8" spans="1:12" ht="18" customHeight="1" x14ac:dyDescent="0.2">
      <c r="A8" s="132" t="s">
        <v>163</v>
      </c>
      <c r="B8" s="133"/>
      <c r="C8" s="133"/>
      <c r="D8" s="133"/>
      <c r="E8" s="133"/>
      <c r="F8" s="133"/>
      <c r="G8" s="152"/>
      <c r="H8" s="133"/>
      <c r="I8" s="133"/>
      <c r="J8" s="133"/>
      <c r="K8" s="133"/>
      <c r="L8" s="134"/>
    </row>
    <row r="9" spans="1:12" ht="18" customHeight="1" x14ac:dyDescent="0.2">
      <c r="A9" s="132" t="s">
        <v>175</v>
      </c>
      <c r="B9" s="133"/>
      <c r="C9" s="133"/>
      <c r="D9" s="133"/>
      <c r="E9" s="133"/>
      <c r="F9" s="133"/>
      <c r="G9" s="152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3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6"/>
      <c r="G11" s="153"/>
      <c r="H11" s="136"/>
      <c r="I11" s="136"/>
      <c r="J11" s="136"/>
      <c r="K11" s="136"/>
      <c r="L11" s="137"/>
    </row>
    <row r="12" spans="1:12" ht="18" customHeight="1" x14ac:dyDescent="0.2">
      <c r="A12" s="151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52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52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92"/>
      <c r="B15" s="133"/>
      <c r="C15" s="133"/>
      <c r="D15" s="133"/>
      <c r="E15" s="133"/>
      <c r="F15" s="134"/>
      <c r="G15" s="192"/>
      <c r="H15" s="133"/>
      <c r="I15" s="133"/>
      <c r="J15" s="133"/>
      <c r="K15" s="133"/>
      <c r="L15" s="134"/>
    </row>
    <row r="16" spans="1:12" ht="18" customHeight="1" x14ac:dyDescent="0.2">
      <c r="A16" s="193"/>
      <c r="B16" s="136"/>
      <c r="C16" s="136"/>
      <c r="D16" s="136"/>
      <c r="E16" s="136"/>
      <c r="F16" s="137"/>
      <c r="G16" s="19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FM12A")+('TITLE LIST'!M:M="ASOT ONLY12A")),"")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C2"/>
    <mergeCell ref="A3:D3"/>
    <mergeCell ref="A4:C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tabColor rgb="FFC4BD97"/>
    <pageSetUpPr fitToPage="1"/>
  </sheetPr>
  <dimension ref="A1:N45"/>
  <sheetViews>
    <sheetView showZeros="0" zoomScale="70" zoomScaleNormal="70" workbookViewId="0">
      <selection activeCell="S31" sqref="S31"/>
    </sheetView>
  </sheetViews>
  <sheetFormatPr baseColWidth="10" defaultColWidth="14.5" defaultRowHeight="15" customHeight="1" x14ac:dyDescent="0.2"/>
  <cols>
    <col min="1" max="2" width="10.83203125" customWidth="1"/>
    <col min="3" max="3" width="40.83203125" customWidth="1"/>
    <col min="4" max="4" width="32.83203125" customWidth="1"/>
    <col min="5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4" width="9.1640625" hidden="1" customWidth="1"/>
    <col min="15" max="26" width="9.1640625" customWidth="1"/>
  </cols>
  <sheetData>
    <row r="1" spans="1:12" ht="20" customHeight="1" x14ac:dyDescent="0.25">
      <c r="A1" s="126" t="s">
        <v>156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6" x14ac:dyDescent="0.2">
      <c r="A2" s="188" t="s">
        <v>194</v>
      </c>
      <c r="B2" s="122"/>
      <c r="C2" s="122"/>
      <c r="D2" s="122"/>
      <c r="E2" s="122"/>
      <c r="F2" s="4"/>
      <c r="G2" s="4"/>
      <c r="H2" s="4"/>
      <c r="I2" s="5"/>
      <c r="J2" s="5"/>
      <c r="K2" s="4"/>
      <c r="L2" s="4"/>
    </row>
    <row r="3" spans="1:12" ht="50.25" customHeight="1" x14ac:dyDescent="0.6">
      <c r="A3" s="128" t="s">
        <v>240</v>
      </c>
      <c r="B3" s="122"/>
      <c r="C3" s="122"/>
      <c r="D3" s="122"/>
      <c r="E3" s="122"/>
      <c r="F3" s="122"/>
      <c r="G3" s="4"/>
      <c r="H3" s="4"/>
      <c r="I3" s="5"/>
      <c r="J3" s="8"/>
      <c r="K3" s="8"/>
      <c r="L3" s="8"/>
    </row>
    <row r="4" spans="1:12" ht="20" x14ac:dyDescent="0.25">
      <c r="A4" s="130" t="s">
        <v>75</v>
      </c>
      <c r="B4" s="122"/>
      <c r="C4" s="122"/>
      <c r="D4" s="122"/>
      <c r="E4" s="10"/>
      <c r="F4" s="11"/>
      <c r="G4" s="11"/>
      <c r="H4" s="11"/>
      <c r="I4" s="10"/>
      <c r="J4" s="12"/>
      <c r="K4" s="12"/>
      <c r="L4" s="12"/>
    </row>
    <row r="5" spans="1:12" ht="28.5" customHeight="1" x14ac:dyDescent="0.45">
      <c r="A5" s="131"/>
      <c r="B5" s="122"/>
      <c r="C5" s="122"/>
      <c r="D5" s="122"/>
      <c r="E5" s="9"/>
      <c r="F5" s="10"/>
      <c r="G5" s="11"/>
      <c r="H5" s="11"/>
      <c r="I5" s="11"/>
      <c r="J5" s="10"/>
      <c r="K5" s="12"/>
      <c r="L5" s="13"/>
    </row>
    <row r="6" spans="1:12" ht="29.25" customHeight="1" thickBot="1" x14ac:dyDescent="0.25">
      <c r="A6" s="142"/>
      <c r="B6" s="142"/>
      <c r="C6" s="142"/>
      <c r="D6" s="6"/>
      <c r="E6" s="14"/>
      <c r="F6" s="4"/>
      <c r="G6" s="4"/>
      <c r="H6" s="4"/>
      <c r="I6" s="14"/>
      <c r="J6" s="15"/>
      <c r="K6" s="16"/>
      <c r="L6" s="15"/>
    </row>
    <row r="7" spans="1:12" ht="18" customHeight="1" x14ac:dyDescent="0.2">
      <c r="A7" s="141" t="s">
        <v>25</v>
      </c>
      <c r="B7" s="139"/>
      <c r="C7" s="139"/>
      <c r="D7" s="139"/>
      <c r="E7" s="139"/>
      <c r="F7" s="140"/>
      <c r="G7" s="155"/>
      <c r="H7" s="139"/>
      <c r="I7" s="139"/>
      <c r="J7" s="139"/>
      <c r="K7" s="139"/>
      <c r="L7" s="140"/>
    </row>
    <row r="8" spans="1:12" ht="18" customHeight="1" x14ac:dyDescent="0.2">
      <c r="A8" s="132" t="s">
        <v>175</v>
      </c>
      <c r="B8" s="133"/>
      <c r="C8" s="133"/>
      <c r="D8" s="133"/>
      <c r="E8" s="133"/>
      <c r="F8" s="134"/>
      <c r="G8" s="158"/>
      <c r="H8" s="133"/>
      <c r="I8" s="133"/>
      <c r="J8" s="133"/>
      <c r="K8" s="133"/>
      <c r="L8" s="134"/>
    </row>
    <row r="9" spans="1:12" ht="18" customHeight="1" x14ac:dyDescent="0.2">
      <c r="A9" s="132" t="s">
        <v>163</v>
      </c>
      <c r="B9" s="133"/>
      <c r="C9" s="133"/>
      <c r="D9" s="133"/>
      <c r="E9" s="133"/>
      <c r="F9" s="134"/>
      <c r="G9" s="158"/>
      <c r="H9" s="133"/>
      <c r="I9" s="133"/>
      <c r="J9" s="133"/>
      <c r="K9" s="133"/>
      <c r="L9" s="134"/>
    </row>
    <row r="10" spans="1:12" ht="18" customHeight="1" x14ac:dyDescent="0.2">
      <c r="A10" s="152"/>
      <c r="B10" s="133"/>
      <c r="C10" s="133"/>
      <c r="D10" s="133"/>
      <c r="E10" s="133"/>
      <c r="F10" s="134"/>
      <c r="G10" s="152"/>
      <c r="H10" s="133"/>
      <c r="I10" s="133"/>
      <c r="J10" s="133"/>
      <c r="K10" s="133"/>
      <c r="L10" s="134"/>
    </row>
    <row r="11" spans="1:12" ht="18" customHeight="1" x14ac:dyDescent="0.2">
      <c r="A11" s="153"/>
      <c r="B11" s="136"/>
      <c r="C11" s="136"/>
      <c r="D11" s="136"/>
      <c r="E11" s="136"/>
      <c r="F11" s="137"/>
      <c r="G11" s="153"/>
      <c r="H11" s="136"/>
      <c r="I11" s="136"/>
      <c r="J11" s="136"/>
      <c r="K11" s="136"/>
      <c r="L11" s="137"/>
    </row>
    <row r="12" spans="1:12" ht="18" customHeight="1" x14ac:dyDescent="0.2">
      <c r="A12" s="138"/>
      <c r="B12" s="139"/>
      <c r="C12" s="139"/>
      <c r="D12" s="139"/>
      <c r="E12" s="139"/>
      <c r="F12" s="140"/>
      <c r="G12" s="151"/>
      <c r="H12" s="139"/>
      <c r="I12" s="139"/>
      <c r="J12" s="139"/>
      <c r="K12" s="139"/>
      <c r="L12" s="140"/>
    </row>
    <row r="13" spans="1:12" ht="18" customHeight="1" x14ac:dyDescent="0.2">
      <c r="A13" s="143"/>
      <c r="B13" s="133"/>
      <c r="C13" s="133"/>
      <c r="D13" s="133"/>
      <c r="E13" s="133"/>
      <c r="F13" s="134"/>
      <c r="G13" s="152"/>
      <c r="H13" s="133"/>
      <c r="I13" s="133"/>
      <c r="J13" s="133"/>
      <c r="K13" s="133"/>
      <c r="L13" s="134"/>
    </row>
    <row r="14" spans="1:12" ht="18" customHeight="1" x14ac:dyDescent="0.2">
      <c r="A14" s="143"/>
      <c r="B14" s="133"/>
      <c r="C14" s="133"/>
      <c r="D14" s="133"/>
      <c r="E14" s="133"/>
      <c r="F14" s="134"/>
      <c r="G14" s="152"/>
      <c r="H14" s="133"/>
      <c r="I14" s="133"/>
      <c r="J14" s="133"/>
      <c r="K14" s="133"/>
      <c r="L14" s="134"/>
    </row>
    <row r="15" spans="1:12" ht="18" customHeight="1" x14ac:dyDescent="0.2">
      <c r="A15" s="152"/>
      <c r="B15" s="133"/>
      <c r="C15" s="133"/>
      <c r="D15" s="133"/>
      <c r="E15" s="133"/>
      <c r="F15" s="134"/>
      <c r="G15" s="152"/>
      <c r="H15" s="133"/>
      <c r="I15" s="133"/>
      <c r="J15" s="133"/>
      <c r="K15" s="133"/>
      <c r="L15" s="134"/>
    </row>
    <row r="16" spans="1:12" ht="18" customHeight="1" x14ac:dyDescent="0.2">
      <c r="A16" s="153"/>
      <c r="B16" s="136"/>
      <c r="C16" s="136"/>
      <c r="D16" s="136"/>
      <c r="E16" s="136"/>
      <c r="F16" s="137"/>
      <c r="G16" s="153"/>
      <c r="H16" s="136"/>
      <c r="I16" s="136"/>
      <c r="J16" s="136"/>
      <c r="K16" s="136"/>
      <c r="L16" s="137"/>
    </row>
    <row r="18" spans="1:12" ht="32" x14ac:dyDescent="0.2">
      <c r="A18" s="19" t="s">
        <v>162</v>
      </c>
      <c r="B18" s="19" t="s">
        <v>110</v>
      </c>
      <c r="C18" s="19" t="s">
        <v>111</v>
      </c>
      <c r="D18" s="144" t="s">
        <v>112</v>
      </c>
      <c r="E18" s="145"/>
      <c r="F18" s="19" t="s">
        <v>113</v>
      </c>
      <c r="G18" s="19" t="s">
        <v>114</v>
      </c>
      <c r="H18" s="19" t="s">
        <v>115</v>
      </c>
      <c r="I18" s="54" t="s">
        <v>116</v>
      </c>
      <c r="J18" s="54" t="s">
        <v>117</v>
      </c>
      <c r="K18" s="19" t="s">
        <v>118</v>
      </c>
      <c r="L18" s="19" t="s">
        <v>119</v>
      </c>
    </row>
    <row r="19" spans="1:12" ht="30" customHeight="1" x14ac:dyDescent="0.2">
      <c r="A19" s="20" t="str">
        <f>IF(B19="","","01:00:00")</f>
        <v/>
      </c>
      <c r="B19" s="21" t="str" cm="1">
        <f t="array" ref="B19">IFERROR(_xlfn._xlws.FILTER('TITLE LIST'!A:M,('TITLE LIST'!M:M="AENG FMALL")+('TITLE LIST'!M:M="ASOT ONLYALL")+('TITLE LIST'!M:M="AENG FM13A")+('TITLE LIST'!M:M="ASOT ONLY13A")),"")</f>
        <v/>
      </c>
      <c r="C19" s="22"/>
      <c r="D19" s="95"/>
      <c r="E19" s="95"/>
      <c r="F19" s="94"/>
      <c r="G19" s="94"/>
      <c r="H19" s="100"/>
      <c r="I19" s="97"/>
      <c r="J19" s="97"/>
      <c r="K19" s="22"/>
      <c r="L19" s="94"/>
    </row>
    <row r="20" spans="1:12" ht="30" customHeight="1" x14ac:dyDescent="0.2">
      <c r="A20" s="20" t="str">
        <f t="shared" ref="A20:A38" si="0">IF(B20="","",(TEXT(A19+(SUM(F19)+5)/86400,"hh:mm:ss")))</f>
        <v/>
      </c>
      <c r="B20" s="21"/>
      <c r="C20" s="22"/>
      <c r="D20" s="95"/>
      <c r="E20" s="95"/>
      <c r="F20" s="94"/>
      <c r="G20" s="94"/>
      <c r="H20" s="100"/>
      <c r="I20" s="97"/>
      <c r="J20" s="97"/>
      <c r="K20" s="22"/>
      <c r="L20" s="94"/>
    </row>
    <row r="21" spans="1:12" ht="30" customHeight="1" x14ac:dyDescent="0.2">
      <c r="A21" s="20" t="str">
        <f t="shared" si="0"/>
        <v/>
      </c>
      <c r="B21" s="21"/>
      <c r="C21" s="22"/>
      <c r="D21" s="22"/>
      <c r="E21" s="22"/>
      <c r="F21" s="94"/>
      <c r="G21" s="94"/>
      <c r="H21" s="101"/>
      <c r="I21" s="97"/>
      <c r="J21" s="97"/>
      <c r="K21" s="22"/>
      <c r="L21" s="94"/>
    </row>
    <row r="22" spans="1:12" ht="30" customHeight="1" x14ac:dyDescent="0.2">
      <c r="A22" s="20" t="str">
        <f t="shared" si="0"/>
        <v/>
      </c>
      <c r="B22" s="21"/>
      <c r="C22" s="22"/>
      <c r="D22" s="22"/>
      <c r="E22" s="22"/>
      <c r="F22" s="94"/>
      <c r="G22" s="94"/>
      <c r="H22" s="101"/>
      <c r="I22" s="97"/>
      <c r="J22" s="97"/>
      <c r="K22" s="22"/>
      <c r="L22" s="94"/>
    </row>
    <row r="23" spans="1:12" ht="30" customHeight="1" x14ac:dyDescent="0.2">
      <c r="A23" s="20" t="str">
        <f t="shared" si="0"/>
        <v/>
      </c>
      <c r="B23" s="21"/>
      <c r="C23" s="95"/>
      <c r="D23" s="95"/>
      <c r="E23" s="95"/>
      <c r="F23" s="96"/>
      <c r="G23" s="96"/>
      <c r="H23" s="100"/>
      <c r="I23" s="97"/>
      <c r="J23" s="97"/>
      <c r="K23" s="95"/>
      <c r="L23" s="96"/>
    </row>
    <row r="24" spans="1:12" ht="30" customHeight="1" x14ac:dyDescent="0.2">
      <c r="A24" s="20" t="str">
        <f t="shared" si="0"/>
        <v/>
      </c>
      <c r="B24" s="21"/>
      <c r="C24" s="95"/>
      <c r="D24" s="95"/>
      <c r="E24" s="95"/>
      <c r="F24" s="96"/>
      <c r="G24" s="96"/>
      <c r="H24" s="100"/>
      <c r="I24" s="97"/>
      <c r="J24" s="97"/>
      <c r="K24" s="95"/>
      <c r="L24" s="96"/>
    </row>
    <row r="25" spans="1:12" ht="30" customHeight="1" x14ac:dyDescent="0.2">
      <c r="A25" s="20" t="str">
        <f t="shared" si="0"/>
        <v/>
      </c>
      <c r="B25" s="21"/>
      <c r="C25" s="95"/>
      <c r="D25" s="95"/>
      <c r="E25" s="95"/>
      <c r="F25" s="96"/>
      <c r="G25" s="96"/>
      <c r="H25" s="100"/>
      <c r="I25" s="97"/>
      <c r="J25" s="97"/>
      <c r="K25" s="95"/>
      <c r="L25" s="96"/>
    </row>
    <row r="26" spans="1:12" ht="30" customHeight="1" x14ac:dyDescent="0.2">
      <c r="A26" s="20" t="str">
        <f t="shared" si="0"/>
        <v/>
      </c>
      <c r="B26" s="21"/>
      <c r="C26" s="22"/>
      <c r="D26" s="22"/>
      <c r="E26" s="22"/>
      <c r="F26" s="94"/>
      <c r="G26" s="94"/>
      <c r="H26" s="101"/>
      <c r="I26" s="97"/>
      <c r="J26" s="97"/>
      <c r="K26" s="22"/>
      <c r="L26" s="96"/>
    </row>
    <row r="27" spans="1:12" ht="30" customHeight="1" x14ac:dyDescent="0.2">
      <c r="A27" s="20" t="str">
        <f t="shared" si="0"/>
        <v/>
      </c>
      <c r="B27" s="21"/>
      <c r="C27" s="22"/>
      <c r="D27" s="22"/>
      <c r="E27" s="22"/>
      <c r="F27" s="94"/>
      <c r="G27" s="94"/>
      <c r="H27" s="101"/>
      <c r="I27" s="97"/>
      <c r="J27" s="97"/>
      <c r="K27" s="22"/>
      <c r="L27" s="96"/>
    </row>
    <row r="28" spans="1:12" ht="30" customHeight="1" x14ac:dyDescent="0.2">
      <c r="A28" s="20" t="str">
        <f t="shared" si="0"/>
        <v/>
      </c>
      <c r="B28" s="21"/>
      <c r="C28" s="22"/>
      <c r="D28" s="22"/>
      <c r="E28" s="22"/>
      <c r="F28" s="94"/>
      <c r="G28" s="94"/>
      <c r="H28" s="101"/>
      <c r="I28" s="97"/>
      <c r="J28" s="97"/>
      <c r="K28" s="22"/>
      <c r="L28" s="96"/>
    </row>
    <row r="29" spans="1:12" ht="30" customHeight="1" x14ac:dyDescent="0.2">
      <c r="A29" s="20" t="str">
        <f t="shared" si="0"/>
        <v/>
      </c>
      <c r="B29" s="21"/>
      <c r="C29" s="22"/>
      <c r="D29" s="22"/>
      <c r="E29" s="22"/>
      <c r="F29" s="94"/>
      <c r="G29" s="94"/>
      <c r="H29" s="101"/>
      <c r="I29" s="97"/>
      <c r="J29" s="97"/>
      <c r="K29" s="22"/>
      <c r="L29" s="96"/>
    </row>
    <row r="30" spans="1:12" ht="30" customHeight="1" x14ac:dyDescent="0.2">
      <c r="A30" s="20" t="str">
        <f t="shared" si="0"/>
        <v/>
      </c>
      <c r="B30" s="21"/>
      <c r="C30" s="22"/>
      <c r="D30" s="22"/>
      <c r="E30" s="22"/>
      <c r="F30" s="94"/>
      <c r="G30" s="94"/>
      <c r="H30" s="101"/>
      <c r="I30" s="97"/>
      <c r="J30" s="97"/>
      <c r="K30" s="22"/>
      <c r="L30" s="96"/>
    </row>
    <row r="31" spans="1:12" ht="30" customHeight="1" x14ac:dyDescent="0.2">
      <c r="A31" s="20" t="str">
        <f t="shared" si="0"/>
        <v/>
      </c>
      <c r="B31" s="21"/>
      <c r="C31" s="22"/>
      <c r="D31" s="22"/>
      <c r="E31" s="22"/>
      <c r="F31" s="94"/>
      <c r="G31" s="94"/>
      <c r="H31" s="101"/>
      <c r="I31" s="97"/>
      <c r="J31" s="97"/>
      <c r="K31" s="22"/>
      <c r="L31" s="96"/>
    </row>
    <row r="32" spans="1:12" ht="30" customHeight="1" x14ac:dyDescent="0.2">
      <c r="A32" s="20" t="str">
        <f t="shared" si="0"/>
        <v/>
      </c>
      <c r="B32" s="21"/>
      <c r="C32" s="22"/>
      <c r="D32" s="22"/>
      <c r="E32" s="22"/>
      <c r="F32" s="94"/>
      <c r="G32" s="94"/>
      <c r="H32" s="101"/>
      <c r="I32" s="97"/>
      <c r="J32" s="97"/>
      <c r="K32" s="22"/>
      <c r="L32" s="94"/>
    </row>
    <row r="33" spans="1:12" ht="30" customHeight="1" x14ac:dyDescent="0.2">
      <c r="A33" s="20" t="str">
        <f t="shared" si="0"/>
        <v/>
      </c>
      <c r="B33" s="21"/>
      <c r="C33" s="22"/>
      <c r="D33" s="22"/>
      <c r="E33" s="22"/>
      <c r="F33" s="94"/>
      <c r="G33" s="94"/>
      <c r="H33" s="101"/>
      <c r="I33" s="97"/>
      <c r="J33" s="97"/>
      <c r="K33" s="22"/>
      <c r="L33" s="94"/>
    </row>
    <row r="34" spans="1:12" ht="30" customHeight="1" x14ac:dyDescent="0.2">
      <c r="A34" s="20" t="str">
        <f t="shared" si="0"/>
        <v/>
      </c>
      <c r="B34" s="21"/>
      <c r="C34" s="22"/>
      <c r="D34" s="22"/>
      <c r="E34" s="22"/>
      <c r="F34" s="94"/>
      <c r="G34" s="94"/>
      <c r="H34" s="101"/>
      <c r="I34" s="97"/>
      <c r="J34" s="97"/>
      <c r="K34" s="22"/>
      <c r="L34" s="96"/>
    </row>
    <row r="35" spans="1:12" ht="30" customHeight="1" x14ac:dyDescent="0.2">
      <c r="A35" s="20" t="str">
        <f t="shared" si="0"/>
        <v/>
      </c>
      <c r="B35" s="21"/>
      <c r="C35" s="22"/>
      <c r="D35" s="22"/>
      <c r="E35" s="22"/>
      <c r="F35" s="94"/>
      <c r="G35" s="94"/>
      <c r="H35" s="101"/>
      <c r="I35" s="97"/>
      <c r="J35" s="97"/>
      <c r="K35" s="22"/>
      <c r="L35" s="96"/>
    </row>
    <row r="36" spans="1:12" ht="30" customHeight="1" x14ac:dyDescent="0.2">
      <c r="A36" s="20" t="str">
        <f t="shared" si="0"/>
        <v/>
      </c>
      <c r="B36" s="21"/>
      <c r="C36" s="22"/>
      <c r="D36" s="22"/>
      <c r="E36" s="22"/>
      <c r="F36" s="94"/>
      <c r="G36" s="94"/>
      <c r="H36" s="101"/>
      <c r="I36" s="97"/>
      <c r="J36" s="97"/>
      <c r="K36" s="22"/>
      <c r="L36" s="94"/>
    </row>
    <row r="37" spans="1:12" ht="30" customHeight="1" x14ac:dyDescent="0.2">
      <c r="A37" s="20" t="str">
        <f t="shared" si="0"/>
        <v/>
      </c>
      <c r="B37" s="21"/>
      <c r="C37" s="22"/>
      <c r="D37" s="22"/>
      <c r="E37" s="22"/>
      <c r="F37" s="94"/>
      <c r="G37" s="94"/>
      <c r="H37" s="101"/>
      <c r="I37" s="97"/>
      <c r="J37" s="97"/>
      <c r="K37" s="22"/>
      <c r="L37" s="94"/>
    </row>
    <row r="38" spans="1:12" ht="30" customHeight="1" x14ac:dyDescent="0.2">
      <c r="A38" s="20" t="str">
        <f t="shared" si="0"/>
        <v/>
      </c>
      <c r="B38" s="21"/>
      <c r="C38" s="22"/>
      <c r="D38" s="22"/>
      <c r="E38" s="22"/>
      <c r="F38" s="94"/>
      <c r="G38" s="94"/>
      <c r="H38" s="101"/>
      <c r="I38" s="97"/>
      <c r="J38" s="97"/>
      <c r="K38" s="22"/>
      <c r="L38" s="94"/>
    </row>
    <row r="39" spans="1:12" ht="30" customHeight="1" x14ac:dyDescent="0.2">
      <c r="A39" s="20" t="str">
        <f t="shared" ref="A39:A45" si="1">IF(B39="","",(TEXT(A38+(SUM(F38)+5)/86400,"hh:mm:ss")))</f>
        <v/>
      </c>
      <c r="B39" s="21"/>
      <c r="C39" s="22"/>
      <c r="D39" s="22"/>
      <c r="E39" s="22"/>
      <c r="F39" s="94"/>
      <c r="G39" s="94"/>
      <c r="H39" s="101"/>
      <c r="I39" s="97"/>
      <c r="J39" s="97"/>
      <c r="K39" s="22"/>
      <c r="L39" s="94"/>
    </row>
    <row r="40" spans="1:12" ht="30" customHeight="1" x14ac:dyDescent="0.2">
      <c r="A40" s="20" t="str">
        <f t="shared" si="1"/>
        <v/>
      </c>
      <c r="B40" s="21"/>
      <c r="C40" s="22"/>
      <c r="D40" s="22"/>
      <c r="E40" s="22"/>
      <c r="F40" s="94"/>
      <c r="G40" s="94"/>
      <c r="H40" s="101"/>
      <c r="I40" s="97"/>
      <c r="J40" s="97"/>
      <c r="K40" s="22"/>
      <c r="L40" s="94"/>
    </row>
    <row r="41" spans="1:12" ht="30" customHeight="1" x14ac:dyDescent="0.2">
      <c r="A41" s="20" t="str">
        <f t="shared" si="1"/>
        <v/>
      </c>
      <c r="B41" s="21"/>
      <c r="C41" s="22"/>
      <c r="D41" s="22"/>
      <c r="E41" s="22"/>
      <c r="F41" s="94"/>
      <c r="G41" s="94"/>
      <c r="H41" s="101"/>
      <c r="I41" s="97"/>
      <c r="J41" s="97"/>
      <c r="K41" s="22"/>
      <c r="L41" s="96"/>
    </row>
    <row r="42" spans="1:12" ht="30" customHeight="1" x14ac:dyDescent="0.2">
      <c r="A42" s="20" t="str">
        <f t="shared" si="1"/>
        <v/>
      </c>
      <c r="B42" s="21"/>
      <c r="C42" s="22"/>
      <c r="D42" s="22"/>
      <c r="E42" s="22"/>
      <c r="F42" s="94"/>
      <c r="G42" s="94"/>
      <c r="H42" s="101"/>
      <c r="I42" s="97"/>
      <c r="J42" s="97"/>
      <c r="K42" s="22"/>
      <c r="L42" s="96"/>
    </row>
    <row r="43" spans="1:12" ht="30" customHeight="1" x14ac:dyDescent="0.2">
      <c r="A43" s="20" t="str">
        <f t="shared" si="1"/>
        <v/>
      </c>
      <c r="B43" s="21"/>
      <c r="C43" s="22"/>
      <c r="D43" s="22"/>
      <c r="E43" s="22"/>
      <c r="F43" s="94"/>
      <c r="G43" s="94"/>
      <c r="H43" s="101"/>
      <c r="I43" s="97"/>
      <c r="J43" s="97"/>
      <c r="K43" s="22"/>
      <c r="L43" s="94"/>
    </row>
    <row r="44" spans="1:12" ht="30" customHeight="1" x14ac:dyDescent="0.2">
      <c r="A44" s="20" t="str">
        <f t="shared" si="1"/>
        <v/>
      </c>
      <c r="B44" s="21"/>
      <c r="C44" s="22"/>
      <c r="D44" s="22"/>
      <c r="E44" s="22"/>
      <c r="F44" s="94"/>
      <c r="G44" s="94"/>
      <c r="H44" s="101"/>
      <c r="I44" s="97"/>
      <c r="J44" s="97"/>
      <c r="K44" s="22"/>
      <c r="L44" s="94"/>
    </row>
    <row r="45" spans="1:12" ht="30" customHeight="1" x14ac:dyDescent="0.2">
      <c r="A45" s="20" t="str">
        <f t="shared" si="1"/>
        <v/>
      </c>
      <c r="B45" s="21"/>
      <c r="C45" s="22"/>
      <c r="D45" s="22"/>
      <c r="E45" s="22"/>
      <c r="F45" s="94"/>
      <c r="G45" s="94"/>
      <c r="H45" s="101"/>
      <c r="I45" s="97"/>
      <c r="J45" s="97"/>
      <c r="K45" s="22"/>
      <c r="L45" s="94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E2"/>
    <mergeCell ref="A3:F3"/>
    <mergeCell ref="A4:D4"/>
    <mergeCell ref="A5:D5"/>
  </mergeCells>
  <pageMargins left="0.70866141732283505" right="0.70866141732283505" top="0.74803149606299202" bottom="0.74803149606299202" header="0" footer="0"/>
  <pageSetup paperSize="9" scale="44" orientation="landscape"/>
  <headerFooter>
    <oddFooter>&amp;C&amp;"Calibri,Regular"&amp;K00000010 Changi Business Park Central 2, #03-08 Hansapoint @CBP, Singapore 486030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>
    <tabColor rgb="FF000000"/>
    <outlinePr summaryBelow="0" summaryRight="0"/>
    <pageSetUpPr fitToPage="1"/>
  </sheetPr>
  <dimension ref="B3:H21"/>
  <sheetViews>
    <sheetView showZeros="0" topLeftCell="A2" workbookViewId="0">
      <selection activeCell="H14" sqref="H14"/>
    </sheetView>
  </sheetViews>
  <sheetFormatPr baseColWidth="10" defaultColWidth="14.5" defaultRowHeight="15" customHeight="1" x14ac:dyDescent="0.2"/>
  <cols>
    <col min="1" max="1" width="9.83203125" customWidth="1"/>
    <col min="2" max="5" width="15.5" customWidth="1"/>
  </cols>
  <sheetData>
    <row r="3" spans="2:6" ht="15" customHeight="1" x14ac:dyDescent="0.2">
      <c r="B3" s="195" t="s">
        <v>201</v>
      </c>
      <c r="C3" s="195"/>
      <c r="D3" s="195"/>
      <c r="E3" s="195"/>
      <c r="F3" s="195"/>
    </row>
    <row r="4" spans="2:6" ht="15" customHeight="1" x14ac:dyDescent="0.2">
      <c r="B4" s="195"/>
      <c r="C4" s="195"/>
      <c r="D4" s="195"/>
      <c r="E4" s="195"/>
      <c r="F4" s="195"/>
    </row>
    <row r="5" spans="2:6" ht="14.25" customHeight="1" x14ac:dyDescent="0.2">
      <c r="B5" s="196" t="s">
        <v>202</v>
      </c>
      <c r="C5" s="196"/>
      <c r="D5" s="196"/>
      <c r="E5" s="196"/>
      <c r="F5" s="196"/>
    </row>
    <row r="6" spans="2:6" ht="15" customHeight="1" x14ac:dyDescent="0.2">
      <c r="B6" s="196"/>
      <c r="C6" s="196"/>
      <c r="D6" s="196"/>
      <c r="E6" s="196"/>
      <c r="F6" s="196"/>
    </row>
    <row r="7" spans="2:6" ht="15" customHeight="1" x14ac:dyDescent="0.2">
      <c r="B7" s="113"/>
      <c r="C7" s="113"/>
      <c r="D7" s="113"/>
      <c r="E7" s="113"/>
      <c r="F7" s="113"/>
    </row>
    <row r="8" spans="2:6" ht="15" customHeight="1" x14ac:dyDescent="0.2">
      <c r="B8" s="197" t="s">
        <v>208</v>
      </c>
      <c r="C8" s="114"/>
      <c r="D8" s="198" t="s">
        <v>209</v>
      </c>
      <c r="E8" s="198"/>
      <c r="F8" s="198"/>
    </row>
    <row r="9" spans="2:6" ht="21.5" customHeight="1" x14ac:dyDescent="0.2">
      <c r="B9" s="197"/>
      <c r="C9" s="114"/>
      <c r="D9" s="198"/>
      <c r="E9" s="198"/>
      <c r="F9" s="198"/>
    </row>
    <row r="10" spans="2:6" ht="15" customHeight="1" x14ac:dyDescent="0.2">
      <c r="B10" s="124"/>
      <c r="C10" s="124"/>
      <c r="D10" s="124"/>
      <c r="E10" s="124"/>
      <c r="F10" s="124"/>
    </row>
    <row r="11" spans="2:6" ht="15" customHeight="1" x14ac:dyDescent="0.2">
      <c r="B11" s="197" t="s">
        <v>210</v>
      </c>
      <c r="C11" s="114"/>
      <c r="D11" s="199" t="s">
        <v>211</v>
      </c>
      <c r="E11" s="199"/>
      <c r="F11" s="199"/>
    </row>
    <row r="12" spans="2:6" ht="20" customHeight="1" x14ac:dyDescent="0.2">
      <c r="B12" s="197"/>
      <c r="C12" s="114"/>
      <c r="D12" s="199"/>
      <c r="E12" s="199"/>
      <c r="F12" s="199"/>
    </row>
    <row r="13" spans="2:6" ht="15" customHeight="1" x14ac:dyDescent="0.2">
      <c r="B13" s="124"/>
      <c r="C13" s="124"/>
      <c r="D13" s="124"/>
      <c r="E13" s="124"/>
      <c r="F13" s="124"/>
    </row>
    <row r="14" spans="2:6" ht="15" customHeight="1" x14ac:dyDescent="0.2">
      <c r="B14" s="194" t="s">
        <v>212</v>
      </c>
      <c r="C14" s="194"/>
      <c r="D14" s="194"/>
      <c r="E14" s="194"/>
      <c r="F14" s="194"/>
    </row>
    <row r="15" spans="2:6" ht="15" customHeight="1" x14ac:dyDescent="0.2">
      <c r="B15" s="194"/>
      <c r="C15" s="194"/>
      <c r="D15" s="194"/>
      <c r="E15" s="194"/>
      <c r="F15" s="194"/>
    </row>
    <row r="16" spans="2:6" ht="15" customHeight="1" x14ac:dyDescent="0.2">
      <c r="B16" s="194"/>
      <c r="C16" s="194"/>
      <c r="D16" s="194"/>
      <c r="E16" s="194"/>
      <c r="F16" s="194"/>
    </row>
    <row r="17" spans="2:8" ht="15" customHeight="1" x14ac:dyDescent="0.2">
      <c r="B17" s="194"/>
      <c r="C17" s="194"/>
      <c r="D17" s="194"/>
      <c r="E17" s="194"/>
      <c r="F17" s="194"/>
    </row>
    <row r="18" spans="2:8" ht="15" customHeight="1" x14ac:dyDescent="0.2">
      <c r="B18" s="194"/>
      <c r="C18" s="194"/>
      <c r="D18" s="194"/>
      <c r="E18" s="194"/>
      <c r="F18" s="194"/>
    </row>
    <row r="19" spans="2:8" ht="15" customHeight="1" x14ac:dyDescent="0.2">
      <c r="B19" s="194"/>
      <c r="C19" s="194"/>
      <c r="D19" s="194"/>
      <c r="E19" s="194"/>
      <c r="F19" s="194"/>
    </row>
    <row r="20" spans="2:8" ht="15" customHeight="1" x14ac:dyDescent="0.2">
      <c r="B20" s="194"/>
      <c r="C20" s="194"/>
      <c r="D20" s="194"/>
      <c r="E20" s="194"/>
      <c r="F20" s="194"/>
    </row>
    <row r="21" spans="2:8" ht="15" customHeight="1" x14ac:dyDescent="0.2">
      <c r="H21" s="98"/>
    </row>
  </sheetData>
  <sheetProtection algorithmName="SHA-512" hashValue="OAmv6fmeardXwMccHFLPR3gJjIULlPSwyH+/N+fYO5nzmckcQoLUjbJxZZEzn9xWneq9/6UTjKrgwaos0JmSag==" saltValue="hNtbn4j2x7s4bDLX+5Umog==" spinCount="100000" sheet="1" objects="1" scenarios="1"/>
  <mergeCells count="9">
    <mergeCell ref="B14:F20"/>
    <mergeCell ref="B3:F4"/>
    <mergeCell ref="B5:F6"/>
    <mergeCell ref="B8:B9"/>
    <mergeCell ref="D8:F9"/>
    <mergeCell ref="B11:B12"/>
    <mergeCell ref="D11:F12"/>
    <mergeCell ref="B10:F10"/>
    <mergeCell ref="B13:F13"/>
  </mergeCells>
  <pageMargins left="0.70866141732283505" right="0.70866141732283505" top="0.74803149606299202" bottom="0.74803149606299202" header="0" footer="0"/>
  <pageSetup paperSize="9" orientation="landscape" r:id="rId1"/>
  <headerFooter>
    <oddFooter>&amp;C&amp;"Calibri,Regular"&amp;K00000010 Changi Business Park Central 2, #03-08 Hansapoint @CBP, Singapore 486030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29</vt:i4>
      </vt:variant>
    </vt:vector>
  </HeadingPairs>
  <TitlesOfParts>
    <vt:vector size="62" baseType="lpstr">
      <vt:lpstr>INDEX</vt:lpstr>
      <vt:lpstr>TITLE LIST</vt:lpstr>
      <vt:lpstr>##</vt:lpstr>
      <vt:lpstr>#</vt:lpstr>
      <vt:lpstr>01B.NTV-HD</vt:lpstr>
      <vt:lpstr>01C.TVB-HD</vt:lpstr>
      <vt:lpstr>02B.MAC-HD</vt:lpstr>
      <vt:lpstr>03A.TRV-HD</vt:lpstr>
      <vt:lpstr>04A.AST-SD</vt:lpstr>
      <vt:lpstr>04B.AST-HD</vt:lpstr>
      <vt:lpstr>04D.AST-DIGITAL</vt:lpstr>
      <vt:lpstr>04E.TMNet-HD</vt:lpstr>
      <vt:lpstr>05B.SH-HD</vt:lpstr>
      <vt:lpstr>05C.EAZIE</vt:lpstr>
      <vt:lpstr>05E.ST-HD</vt:lpstr>
      <vt:lpstr>05F.PPCTV-SD</vt:lpstr>
      <vt:lpstr>05G.WEW-HD</vt:lpstr>
      <vt:lpstr>06A.MNC-HD</vt:lpstr>
      <vt:lpstr>06C.FIM-HD</vt:lpstr>
      <vt:lpstr>06D.TNV-HD</vt:lpstr>
      <vt:lpstr>06J.DensTV-HD</vt:lpstr>
      <vt:lpstr>06K.NEX-P</vt:lpstr>
      <vt:lpstr>07A.SKC-SD</vt:lpstr>
      <vt:lpstr>07C.PHP-GEN-SD</vt:lpstr>
      <vt:lpstr>07D.CIGNAL-SD</vt:lpstr>
      <vt:lpstr>08A.Media-HD</vt:lpstr>
      <vt:lpstr>08B.Dhiraagu-HD</vt:lpstr>
      <vt:lpstr>10A.QNET-HD</vt:lpstr>
      <vt:lpstr>11A.Canal+-HD</vt:lpstr>
      <vt:lpstr>11B.SkyNet-HD</vt:lpstr>
      <vt:lpstr>12A.Digicel-HD</vt:lpstr>
      <vt:lpstr>13A.DIALOG TV</vt:lpstr>
      <vt:lpstr>REFORMAT</vt:lpstr>
      <vt:lpstr>'01B.NTV-HD'!_xPROMO_Template_141224.</vt:lpstr>
      <vt:lpstr>'01C.TVB-HD'!_xPROMO_Template_141224.</vt:lpstr>
      <vt:lpstr>'02B.MAC-HD'!_xPROMO_Template_141224.</vt:lpstr>
      <vt:lpstr>'03A.TRV-HD'!_xPROMO_Template_141224.</vt:lpstr>
      <vt:lpstr>'04A.AST-SD'!_xPROMO_Template_141224.</vt:lpstr>
      <vt:lpstr>'04B.AST-HD'!_xPROMO_Template_141224.</vt:lpstr>
      <vt:lpstr>'04D.AST-DIGITAL'!_xPROMO_Template_141224.</vt:lpstr>
      <vt:lpstr>'04E.TMNet-HD'!_xPROMO_Template_141224.</vt:lpstr>
      <vt:lpstr>'05B.SH-HD'!_xPROMO_Template_141224.</vt:lpstr>
      <vt:lpstr>'05C.EAZIE'!_xPROMO_Template_141224.</vt:lpstr>
      <vt:lpstr>'05E.ST-HD'!_xPROMO_Template_141224.</vt:lpstr>
      <vt:lpstr>'05F.PPCTV-SD'!_xPROMO_Template_141224.</vt:lpstr>
      <vt:lpstr>'05G.WEW-HD'!_xPROMO_Template_141224.</vt:lpstr>
      <vt:lpstr>'06A.MNC-HD'!_xPROMO_Template_141224.</vt:lpstr>
      <vt:lpstr>'06C.FIM-HD'!_xPROMO_Template_141224.</vt:lpstr>
      <vt:lpstr>'06D.TNV-HD'!_xPROMO_Template_141224.</vt:lpstr>
      <vt:lpstr>'06J.DensTV-HD'!_xPROMO_Template_141224.</vt:lpstr>
      <vt:lpstr>'06K.NEX-P'!_xPROMO_Template_141224.</vt:lpstr>
      <vt:lpstr>'07A.SKC-SD'!_xPROMO_Template_141224.</vt:lpstr>
      <vt:lpstr>'07C.PHP-GEN-SD'!_xPROMO_Template_141224.</vt:lpstr>
      <vt:lpstr>'07D.CIGNAL-SD'!_xPROMO_Template_141224.</vt:lpstr>
      <vt:lpstr>'08A.Media-HD'!_xPROMO_Template_141224.</vt:lpstr>
      <vt:lpstr>'08B.Dhiraagu-HD'!_xPROMO_Template_141224.</vt:lpstr>
      <vt:lpstr>'10A.QNET-HD'!_xPROMO_Template_141224.</vt:lpstr>
      <vt:lpstr>'11A.Canal+-HD'!_xPROMO_Template_141224.</vt:lpstr>
      <vt:lpstr>'11B.SkyNet-HD'!_xPROMO_Template_141224.</vt:lpstr>
      <vt:lpstr>'12A.Digicel-HD'!_xPROMO_Template_141224.</vt:lpstr>
      <vt:lpstr>'13A.DIALOG TV'!_xPROMO_Template_141224.</vt:lpstr>
      <vt:lpstr>'TITLE LIST'!List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Daniel Wang</cp:lastModifiedBy>
  <cp:revision/>
  <cp:lastPrinted>2023-05-15T17:40:36Z</cp:lastPrinted>
  <dcterms:created xsi:type="dcterms:W3CDTF">2023-05-04T05:59:36Z</dcterms:created>
  <dcterms:modified xsi:type="dcterms:W3CDTF">2023-07-25T13:48:38Z</dcterms:modified>
  <cp:category/>
  <cp:contentStatus/>
</cp:coreProperties>
</file>